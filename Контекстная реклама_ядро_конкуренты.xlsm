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drawings/drawing1.xml" ContentType="application/vnd.openxmlformats-officedocument.drawing+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drawings/drawing2.xml" ContentType="application/vnd.openxmlformats-officedocument.drawing+xml"/>
  <Override PartName="/xl/tables/table18.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ЭтаКнига"/>
  <mc:AlternateContent xmlns:mc="http://schemas.openxmlformats.org/markup-compatibility/2006">
    <mc:Choice Requires="x15">
      <x15ac:absPath xmlns:x15ac="http://schemas.microsoft.com/office/spreadsheetml/2010/11/ac" url="https://d.docs.live.net/442ec1b2a118f99c/Документы/Практическая работа маркетинг/"/>
    </mc:Choice>
  </mc:AlternateContent>
  <xr:revisionPtr revIDLastSave="84" documentId="8_{2B48343C-8F58-4D9D-8E24-A1956DF91C0F}" xr6:coauthVersionLast="47" xr6:coauthVersionMax="47" xr10:uidLastSave="{AA2CA864-82E5-441D-94C6-074D61A5CFB1}"/>
  <bookViews>
    <workbookView xWindow="-120" yWindow="-120" windowWidth="20730" windowHeight="11040" xr2:uid="{00000000-000D-0000-FFFF-FFFF00000000}"/>
  </bookViews>
  <sheets>
    <sheet name="Конкурентный анализ" sheetId="14" r:id="rId1"/>
    <sheet name="Плюс и минус" sheetId="15" r:id="rId2"/>
    <sheet name="Маска" sheetId="1" r:id="rId3"/>
    <sheet name="Группы запросов" sheetId="2" r:id="rId4"/>
    <sheet name="Минус-слова" sheetId="3" r:id="rId5"/>
  </sheets>
  <definedNames>
    <definedName name="_xlnm._FilterDatabase" localSheetId="3" hidden="1">'Группы запросов'!$A$1:$AK$1</definedName>
  </definedNames>
  <calcPr calcId="191029" forceFullCalc="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4" i="14" l="1"/>
  <c r="F4" i="14"/>
  <c r="G4" i="14"/>
  <c r="H4" i="14"/>
  <c r="I4" i="14"/>
  <c r="J4" i="14"/>
  <c r="K4" i="14"/>
  <c r="L4" i="14"/>
  <c r="M4" i="14"/>
  <c r="N4" i="14"/>
  <c r="O4" i="1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C63D32C-57F1-4106-A0AC-7400D8E3EA81}" keepAlive="1" name="Запрос — CPC_выгрузки_Яндекс" description="Соединение с запросом &quot;CPC_выгрузки_Яндекс&quot; в книге." type="5" refreshedVersion="8" background="1" saveData="1">
    <dbPr connection="Provider=Microsoft.Mashup.OleDb.1;Data Source=$Workbook$;Location=CPC_выгрузки_Яндекс;Extended Properties=&quot;&quot;" command="SELECT * FROM [CPC_выгрузки_Яндекс]"/>
  </connection>
</connections>
</file>

<file path=xl/sharedStrings.xml><?xml version="1.0" encoding="utf-8"?>
<sst xmlns="http://schemas.openxmlformats.org/spreadsheetml/2006/main" count="1133" uniqueCount="969">
  <si>
    <t>Базовые запросы
(это услуги или товары компании, которые хотим рекламировать)</t>
  </si>
  <si>
    <t>запрос</t>
  </si>
  <si>
    <t>частотность</t>
  </si>
  <si>
    <t>роза плетистая</t>
  </si>
  <si>
    <t>Наименование группы (каждая группа в отдельном столбце)</t>
  </si>
  <si>
    <t>запрос (прописать каждый запрос в отдельной строке)</t>
  </si>
  <si>
    <t>Наименование группы</t>
  </si>
  <si>
    <t xml:space="preserve">частотность </t>
  </si>
  <si>
    <t xml:space="preserve">Наименование группы </t>
  </si>
  <si>
    <t xml:space="preserve">запрос  </t>
  </si>
  <si>
    <t xml:space="preserve">частотность  </t>
  </si>
  <si>
    <t xml:space="preserve">Наименование группы   </t>
  </si>
  <si>
    <t xml:space="preserve">запрос   </t>
  </si>
  <si>
    <t xml:space="preserve">частотность   </t>
  </si>
  <si>
    <t xml:space="preserve">Наименование группы     </t>
  </si>
  <si>
    <t xml:space="preserve">запрос       </t>
  </si>
  <si>
    <t xml:space="preserve">частотность       </t>
  </si>
  <si>
    <t xml:space="preserve">Наименование группы         </t>
  </si>
  <si>
    <t xml:space="preserve">запрос          </t>
  </si>
  <si>
    <t xml:space="preserve">частотность             </t>
  </si>
  <si>
    <t xml:space="preserve">Наименование группы          </t>
  </si>
  <si>
    <t xml:space="preserve">запрос         </t>
  </si>
  <si>
    <t xml:space="preserve">частотность            </t>
  </si>
  <si>
    <t xml:space="preserve">Наименование группы              </t>
  </si>
  <si>
    <t xml:space="preserve">запрос                             </t>
  </si>
  <si>
    <t xml:space="preserve">частотность                                   </t>
  </si>
  <si>
    <t xml:space="preserve">Наименование группы                                      </t>
  </si>
  <si>
    <t xml:space="preserve">запрос                                        </t>
  </si>
  <si>
    <t xml:space="preserve">частотность                                                                    </t>
  </si>
  <si>
    <t xml:space="preserve">Наименование группы                                                                                                                              </t>
  </si>
  <si>
    <t xml:space="preserve">запрос                                                                                            </t>
  </si>
  <si>
    <t xml:space="preserve">частотность                                                                       </t>
  </si>
  <si>
    <t xml:space="preserve">Наименование группы                                                                                                  </t>
  </si>
  <si>
    <t xml:space="preserve">запрос                                                                                                                                                                                                        </t>
  </si>
  <si>
    <t xml:space="preserve">частотность                                                                                                            </t>
  </si>
  <si>
    <t xml:space="preserve">Наименование группы                                                                                   </t>
  </si>
  <si>
    <t xml:space="preserve">запрос                                                                     </t>
  </si>
  <si>
    <t xml:space="preserve">частотность                                                                        </t>
  </si>
  <si>
    <t>роза плетистая купить</t>
  </si>
  <si>
    <t>роза амадеус плетистая</t>
  </si>
  <si>
    <t>роза плетистая пьер</t>
  </si>
  <si>
    <t>роза плетистая ронсар</t>
  </si>
  <si>
    <t>плетистая роза де ронсар</t>
  </si>
  <si>
    <t>роза плетистая пьер де ронсар</t>
  </si>
  <si>
    <t>роза плетистая полька</t>
  </si>
  <si>
    <t>роза плетистая эльф</t>
  </si>
  <si>
    <t>саженцы плетистых роз</t>
  </si>
  <si>
    <t>роза цезарь плетистая</t>
  </si>
  <si>
    <t>роза плетистая лагуна</t>
  </si>
  <si>
    <t>роза плетистая айсберг</t>
  </si>
  <si>
    <t>роза плетистая голден</t>
  </si>
  <si>
    <t>роза плетистая флорентина</t>
  </si>
  <si>
    <t>индиголетта роза плетистая</t>
  </si>
  <si>
    <t>роза плетистая красная</t>
  </si>
  <si>
    <t>роза плетистая белая</t>
  </si>
  <si>
    <t>желтые плетистые розы</t>
  </si>
  <si>
    <t>роза сантана плетистая</t>
  </si>
  <si>
    <t>роза плетистая ютерсен</t>
  </si>
  <si>
    <t>роза плетистая блю</t>
  </si>
  <si>
    <t>роза плетистая розовая</t>
  </si>
  <si>
    <t>морозостойкие плетистые розы</t>
  </si>
  <si>
    <t>роза плетистая клайминг</t>
  </si>
  <si>
    <t>роза плетистая антик</t>
  </si>
  <si>
    <t>зимостойкие плетистые розы</t>
  </si>
  <si>
    <t>роза плетистая фламентанц</t>
  </si>
  <si>
    <t>салита роза плетистая</t>
  </si>
  <si>
    <t>шнеевальцер роза плетистая</t>
  </si>
  <si>
    <t>роза бьенвеню плетистая</t>
  </si>
  <si>
    <t>роза плетистая голден гейт</t>
  </si>
  <si>
    <t>роза плетистая пале рояль</t>
  </si>
  <si>
    <t>канадские плетистые розы</t>
  </si>
  <si>
    <t>роза плетистая эрик</t>
  </si>
  <si>
    <t>роза плетистая нью</t>
  </si>
  <si>
    <t>роза плетистая дон</t>
  </si>
  <si>
    <t>роза плетистая эрик таберли</t>
  </si>
  <si>
    <t>роза плетистая розариум ютерсен</t>
  </si>
  <si>
    <t>плетистая роза жуан</t>
  </si>
  <si>
    <t>роза барок плетистая</t>
  </si>
  <si>
    <t>плетистая роза клаймбер</t>
  </si>
  <si>
    <t>плетистая роза купить саженцы</t>
  </si>
  <si>
    <t>плетистая роза без шипов</t>
  </si>
  <si>
    <t>плетистые розы рамблеры</t>
  </si>
  <si>
    <t>роза алоха плетистая</t>
  </si>
  <si>
    <t>роза плетистая роуз</t>
  </si>
  <si>
    <t>плетистая роза леди</t>
  </si>
  <si>
    <t>роза плетистая ванила</t>
  </si>
  <si>
    <t>плетистая роза даун</t>
  </si>
  <si>
    <t>саженцы роз плетистых морозостойких</t>
  </si>
  <si>
    <t>плетистые розы купить саженцы морозостойкие</t>
  </si>
  <si>
    <t>Список минус-слов на уровне кампании</t>
  </si>
  <si>
    <t>роза флорибунда саженцы</t>
  </si>
  <si>
    <t>роза флорибунда купить саженцы</t>
  </si>
  <si>
    <t>флорибунда</t>
  </si>
  <si>
    <t>флорибунд</t>
  </si>
  <si>
    <t>роза флорибунда</t>
  </si>
  <si>
    <t>флорибунда зимостойкость</t>
  </si>
  <si>
    <t>флорибунда да винчи</t>
  </si>
  <si>
    <t>флорибунда леонардо да винчи</t>
  </si>
  <si>
    <t>купить флорибунду</t>
  </si>
  <si>
    <t>флорибунда кимоно</t>
  </si>
  <si>
    <t>роза флорибунда купить</t>
  </si>
  <si>
    <t>роза флорибунда фрезия</t>
  </si>
  <si>
    <t>флорибунда космос</t>
  </si>
  <si>
    <t>флорибунда минерва</t>
  </si>
  <si>
    <t>саженцы флорибунда</t>
  </si>
  <si>
    <t>пастелла флорибунда</t>
  </si>
  <si>
    <t>флорибунда монако</t>
  </si>
  <si>
    <t>роза флорибунда космос</t>
  </si>
  <si>
    <t>флорибунда принц монако</t>
  </si>
  <si>
    <t>флорибунда мидсаммер</t>
  </si>
  <si>
    <t>минерва роза флорибунда</t>
  </si>
  <si>
    <t>роза флорибунда монако</t>
  </si>
  <si>
    <t>роза флорибунда мидсаммер</t>
  </si>
  <si>
    <t>флорибунда красная</t>
  </si>
  <si>
    <t>марлен флорибунда</t>
  </si>
  <si>
    <t>флорибунда новалис</t>
  </si>
  <si>
    <t>флорибунда розовые</t>
  </si>
  <si>
    <t>розы флорибунда марлен</t>
  </si>
  <si>
    <t>роза лили марлен флорибунда</t>
  </si>
  <si>
    <t>флорибунда изи даз</t>
  </si>
  <si>
    <t>роза флорибунда новалис</t>
  </si>
  <si>
    <t>флорибунда изи даз ит</t>
  </si>
  <si>
    <t>флорибунда блю</t>
  </si>
  <si>
    <t>роза флорибунда изи</t>
  </si>
  <si>
    <t>кустовая флорибунда</t>
  </si>
  <si>
    <t>роза флорибунда изи даз</t>
  </si>
  <si>
    <t>роза белая флорибунда</t>
  </si>
  <si>
    <t>роза флорибунда изи даз ит</t>
  </si>
  <si>
    <t>роза флорибунда розовая</t>
  </si>
  <si>
    <t>флорибунда ангела</t>
  </si>
  <si>
    <t>флорибунда айсберг</t>
  </si>
  <si>
    <t>флорибунда рококо</t>
  </si>
  <si>
    <t>роза флорибунда блю</t>
  </si>
  <si>
    <t>герцогиня флорибунда</t>
  </si>
  <si>
    <t>роза айсберг флорибунда</t>
  </si>
  <si>
    <t>роза флорибунда рококо</t>
  </si>
  <si>
    <t>флорибунда гейша</t>
  </si>
  <si>
    <t>роза флорибунда герцогиня</t>
  </si>
  <si>
    <t>саженец чайно гибридной розы</t>
  </si>
  <si>
    <t>чайно гибридная</t>
  </si>
  <si>
    <t>чайно гибридные розы</t>
  </si>
  <si>
    <t>чайно гибридная роза черная</t>
  </si>
  <si>
    <t>чайно гибридная магия</t>
  </si>
  <si>
    <t>розы чайно гибридные магия</t>
  </si>
  <si>
    <t>чайно гибридная черная магия</t>
  </si>
  <si>
    <t>роза чайно гибридная черная магия</t>
  </si>
  <si>
    <t>роза чайно гибридная ред</t>
  </si>
  <si>
    <t>чайно гибридная керио</t>
  </si>
  <si>
    <t>белая чайно гибридная</t>
  </si>
  <si>
    <t>роза чайно гибридная белая</t>
  </si>
  <si>
    <t>роза чайно гибридная керио</t>
  </si>
  <si>
    <t>чайно гибридная осирия</t>
  </si>
  <si>
    <t>роза чайно гибридная осирия</t>
  </si>
  <si>
    <t>роза чайно гибридная желтая</t>
  </si>
  <si>
    <t>чайно гибридные пиано</t>
  </si>
  <si>
    <t>роза кустовая чайно гибридная</t>
  </si>
  <si>
    <t>красные чайно гибридные</t>
  </si>
  <si>
    <t>роза чайно гибридная пиано</t>
  </si>
  <si>
    <t>розовый чайно гибридная</t>
  </si>
  <si>
    <t>роза чайно гибридная красная</t>
  </si>
  <si>
    <t>роза чайно гибридная куст</t>
  </si>
  <si>
    <t>чайно гибридная роза розовая</t>
  </si>
  <si>
    <t>чайно гибридная анастасия</t>
  </si>
  <si>
    <t>моника чайно гибридная</t>
  </si>
  <si>
    <t>чайно гибридная блю</t>
  </si>
  <si>
    <t>роза чайно гибридная моника</t>
  </si>
  <si>
    <t>роза чайно гибридная анастасия</t>
  </si>
  <si>
    <t>роза чайно гибридная блю</t>
  </si>
  <si>
    <t>чайно гибридная пинк</t>
  </si>
  <si>
    <t>роза чайно гибридная баккара</t>
  </si>
  <si>
    <t>роза чайно гибридная пинк</t>
  </si>
  <si>
    <t>роза чайно гибридная интуишн</t>
  </si>
  <si>
    <t>ашрам чайно гибридная</t>
  </si>
  <si>
    <t>чайно гибридная глория</t>
  </si>
  <si>
    <t>чайно гибридная боинг</t>
  </si>
  <si>
    <t>роза чайно гибридная гранд</t>
  </si>
  <si>
    <t>чайно гибридная катрин роуз</t>
  </si>
  <si>
    <t>чайно гибридная роза катрин роуз</t>
  </si>
  <si>
    <t>чайно гибридная утопия</t>
  </si>
  <si>
    <t>чайно гибридная аскот</t>
  </si>
  <si>
    <t>роза чайно гибридная белла</t>
  </si>
  <si>
    <t>чайно гибридная аква</t>
  </si>
  <si>
    <t>глория дей чайно гибридная</t>
  </si>
  <si>
    <t>роза чайно гибридная утопия</t>
  </si>
  <si>
    <t>роза чайно гибридная дабл</t>
  </si>
  <si>
    <t>дабл делайт чайно гибридная</t>
  </si>
  <si>
    <t>роза чайно гибридная блэк</t>
  </si>
  <si>
    <t>роза чайно гибридная</t>
  </si>
  <si>
    <t>саженцы роз</t>
  </si>
  <si>
    <t>купить саженцы роз</t>
  </si>
  <si>
    <t>магазин саженцев роз</t>
  </si>
  <si>
    <t>саженцы роз весной</t>
  </si>
  <si>
    <t>саженцы розы интернет</t>
  </si>
  <si>
    <t>розы интернет магазин саженцев роз</t>
  </si>
  <si>
    <t>саженцы роз где</t>
  </si>
  <si>
    <t>купить саженцы роз в питомнике</t>
  </si>
  <si>
    <t>розы каталог саженцев</t>
  </si>
  <si>
    <t>где купить саженцы роз</t>
  </si>
  <si>
    <t>купить саженцы роз магазин</t>
  </si>
  <si>
    <t>роза интернет магазин саженцев каталог</t>
  </si>
  <si>
    <t>роза сад саженцы</t>
  </si>
  <si>
    <t>розы саженцы купить интернет</t>
  </si>
  <si>
    <t>продажа саженцев роз</t>
  </si>
  <si>
    <t>покупка роз саженцы</t>
  </si>
  <si>
    <t>саженцы роз многолетние</t>
  </si>
  <si>
    <t>саженцы роз из питомника</t>
  </si>
  <si>
    <t>молодые саженцы роз</t>
  </si>
  <si>
    <t>заказать розы саженцы</t>
  </si>
  <si>
    <t>где можно купить саженцы роз</t>
  </si>
  <si>
    <t>интернет магазин саженцев роз питомник</t>
  </si>
  <si>
    <t>доставкой саженцы розы</t>
  </si>
  <si>
    <t>питомник каталог саженцев роз</t>
  </si>
  <si>
    <t>купить саженцы роз в интернет магазине</t>
  </si>
  <si>
    <t>саженец розы почтой</t>
  </si>
  <si>
    <t>роза куст саженцы</t>
  </si>
  <si>
    <t>покупные саженцы роз</t>
  </si>
  <si>
    <t>роза остина купить</t>
  </si>
  <si>
    <t>купить розы дэвида остина</t>
  </si>
  <si>
    <t>розы остина купить саженцы</t>
  </si>
  <si>
    <t>розы остина</t>
  </si>
  <si>
    <t>розы дэвида остина</t>
  </si>
  <si>
    <t>роза клер остин</t>
  </si>
  <si>
    <t>роза чарльз остин</t>
  </si>
  <si>
    <t>роза пэт остин</t>
  </si>
  <si>
    <t>роза клэр остин</t>
  </si>
  <si>
    <t>английская роза дэвида остина</t>
  </si>
  <si>
    <t>джеймс остин роза</t>
  </si>
  <si>
    <t>розы остина зимостойкость</t>
  </si>
  <si>
    <t>роза пет остин</t>
  </si>
  <si>
    <t>лучшие розы остина</t>
  </si>
  <si>
    <t>роза девид остин</t>
  </si>
  <si>
    <t>роза барбара остин</t>
  </si>
  <si>
    <t>роза остина оливия</t>
  </si>
  <si>
    <t>роза остина роуз</t>
  </si>
  <si>
    <t>роза джеймс л остин</t>
  </si>
  <si>
    <t>розы д остина</t>
  </si>
  <si>
    <t>роза джейн остин</t>
  </si>
  <si>
    <t>роза оливия роуз остин</t>
  </si>
  <si>
    <t>саженцы роз остина</t>
  </si>
  <si>
    <t>шрабы</t>
  </si>
  <si>
    <t>роза шраб</t>
  </si>
  <si>
    <t>шраб купить</t>
  </si>
  <si>
    <t>лучшие розы шрабы</t>
  </si>
  <si>
    <t>саженцы роз шрабы</t>
  </si>
  <si>
    <t>розы шрабы сорта</t>
  </si>
  <si>
    <t>английские шрабы</t>
  </si>
  <si>
    <t>шрабы парковые</t>
  </si>
  <si>
    <t>плетистые шрабы</t>
  </si>
  <si>
    <t>роза парковая шраб</t>
  </si>
  <si>
    <t>кустовой шраб</t>
  </si>
  <si>
    <t>роза плетистая шраб</t>
  </si>
  <si>
    <t>шраб пиано</t>
  </si>
  <si>
    <t>шраб бельведер</t>
  </si>
  <si>
    <t>шраб харденберг</t>
  </si>
  <si>
    <t>роза шраб бельведер</t>
  </si>
  <si>
    <t>шраб ла вилла котта</t>
  </si>
  <si>
    <t>розы шрабы харденберг</t>
  </si>
  <si>
    <t>роза шраб ла вилла</t>
  </si>
  <si>
    <t>роза шраб пиано</t>
  </si>
  <si>
    <t>эмильен шрабы</t>
  </si>
  <si>
    <t>артемис шраб</t>
  </si>
  <si>
    <t>розы шрабы ренессанс</t>
  </si>
  <si>
    <t>почвопокровная роза саженцы</t>
  </si>
  <si>
    <t>купить саженцы почвопокровных роз</t>
  </si>
  <si>
    <t>почвопокровные розы</t>
  </si>
  <si>
    <t>почвопокровные розы сорта</t>
  </si>
  <si>
    <t>роза почвопокровная купить</t>
  </si>
  <si>
    <t>почвопокровная роза ред</t>
  </si>
  <si>
    <t>почвопокровные розы скарлет</t>
  </si>
  <si>
    <t>роза почвопокровная мейяндекор</t>
  </si>
  <si>
    <t>роза ред фейри почвопокровная</t>
  </si>
  <si>
    <t>лучшие почвопокровные розы</t>
  </si>
  <si>
    <t>роза почвопокровная красная</t>
  </si>
  <si>
    <t>роза почвопокровная белая</t>
  </si>
  <si>
    <t>зимостойкие почвопокровные розы</t>
  </si>
  <si>
    <t>роза почвопокровная зе фейри</t>
  </si>
  <si>
    <t>роза почвопокровная вайт</t>
  </si>
  <si>
    <t>роза каскад почвопокровная</t>
  </si>
  <si>
    <t>роза почвопокровная надя</t>
  </si>
  <si>
    <t>роза ред каскад почвопокровная</t>
  </si>
  <si>
    <t>саженцы канадских роз</t>
  </si>
  <si>
    <t>роза канадская купить саженцы</t>
  </si>
  <si>
    <t>канадские розы</t>
  </si>
  <si>
    <t>канадские розы купить</t>
  </si>
  <si>
    <t>роза канадская парковая</t>
  </si>
  <si>
    <t>роза канадская багнет</t>
  </si>
  <si>
    <t>канадская роза луиза багнет</t>
  </si>
  <si>
    <t>роза канадская маккензи</t>
  </si>
  <si>
    <t>канадская роза александр маккензи</t>
  </si>
  <si>
    <t>лучшие канадские розы</t>
  </si>
  <si>
    <t>канадские розы лучшие сорта</t>
  </si>
  <si>
    <t>эмили карр роза канадская</t>
  </si>
  <si>
    <t>роза канадская фробишер</t>
  </si>
  <si>
    <t>канадская роза мартин фробишер</t>
  </si>
  <si>
    <t>роза канадская зимостойкая</t>
  </si>
  <si>
    <t>питомник канадские розы</t>
  </si>
  <si>
    <t>канадские розы хьюманити</t>
  </si>
  <si>
    <t>роза канадская хоуп хьюманити</t>
  </si>
  <si>
    <t>канадская роза чамплейн</t>
  </si>
  <si>
    <t>роза канадская тереза багнет</t>
  </si>
  <si>
    <t>мускусные розы саженцы</t>
  </si>
  <si>
    <t>мускусная роза купить саженцы</t>
  </si>
  <si>
    <t>мускусные розы</t>
  </si>
  <si>
    <t>роза мускусный гибрид</t>
  </si>
  <si>
    <t>роза мускусная пинк</t>
  </si>
  <si>
    <t>мускусная роза купить</t>
  </si>
  <si>
    <t>роза мускусная моцарт</t>
  </si>
  <si>
    <t>роза хевенли мускусная</t>
  </si>
  <si>
    <t>роза мускусная салли холмс</t>
  </si>
  <si>
    <t>роза мускусная хевенли пинк</t>
  </si>
  <si>
    <t>роза мускусная амур</t>
  </si>
  <si>
    <t>мускусная роза белая</t>
  </si>
  <si>
    <t>тамара розы</t>
  </si>
  <si>
    <t>магазин тамара розы</t>
  </si>
  <si>
    <t>тамара роза интернет</t>
  </si>
  <si>
    <t>питомник тамара розы</t>
  </si>
  <si>
    <t>саженцы роз тамара</t>
  </si>
  <si>
    <t>тамара розы интернет магазин саженцев</t>
  </si>
  <si>
    <t>розы тамары каталог</t>
  </si>
  <si>
    <t>питомник тамара розы каталог</t>
  </si>
  <si>
    <t>сайт тамара розы</t>
  </si>
  <si>
    <t>тамара роза питомник роз официальный сайт</t>
  </si>
  <si>
    <t>японская роза купить</t>
  </si>
  <si>
    <t>японская роза</t>
  </si>
  <si>
    <t>японские розы сорта</t>
  </si>
  <si>
    <t>роза японские принцессы</t>
  </si>
  <si>
    <t>японская роза мияби</t>
  </si>
  <si>
    <t>роза японская шраб</t>
  </si>
  <si>
    <t>японская роза коралл</t>
  </si>
  <si>
    <t>роза японская сакура</t>
  </si>
  <si>
    <t>белая японская роза</t>
  </si>
  <si>
    <t>японская роза тсумуги</t>
  </si>
  <si>
    <t>роза английская саженец розы</t>
  </si>
  <si>
    <t>английская роза купить саженцы</t>
  </si>
  <si>
    <t>английская роза</t>
  </si>
  <si>
    <t>английские розы остина</t>
  </si>
  <si>
    <t>роза английская парковая</t>
  </si>
  <si>
    <t>миниатюрный саженец роз</t>
  </si>
  <si>
    <t>роза миниатюрная</t>
  </si>
  <si>
    <t>роза миниатюрная сорта</t>
  </si>
  <si>
    <t>роза миниатюрная купить</t>
  </si>
  <si>
    <t>роза миниатюрная альберих</t>
  </si>
  <si>
    <t>саженец парковой розы</t>
  </si>
  <si>
    <t>парковые розы купить саженцы</t>
  </si>
  <si>
    <t>роза парковая</t>
  </si>
  <si>
    <t>купить парковую розу</t>
  </si>
  <si>
    <t>Исторические розы</t>
  </si>
  <si>
    <t>роза тоскана</t>
  </si>
  <si>
    <t>луиз одье роза</t>
  </si>
  <si>
    <t>роза жак картье</t>
  </si>
  <si>
    <t>роза мадам исаак перейр</t>
  </si>
  <si>
    <t>роза кардинал де ришелье</t>
  </si>
  <si>
    <t>роза роз де решт</t>
  </si>
  <si>
    <t>роза полиантовая роз де решт</t>
  </si>
  <si>
    <t>роза рейн де виолетта</t>
  </si>
  <si>
    <t>роза барон жиро де лен</t>
  </si>
  <si>
    <t>роза робуста</t>
  </si>
  <si>
    <t>роза робуста купить</t>
  </si>
  <si>
    <t>роза ханса</t>
  </si>
  <si>
    <t>роза хансаланд</t>
  </si>
  <si>
    <t>роза хансаланд купить</t>
  </si>
  <si>
    <t>роза ругельда</t>
  </si>
  <si>
    <t>роза гротендорст</t>
  </si>
  <si>
    <t>роза пинк гротендорст</t>
  </si>
  <si>
    <t>роза пинк робуста</t>
  </si>
  <si>
    <t>роза сухумка</t>
  </si>
  <si>
    <t>роза сувенир де трелазе</t>
  </si>
  <si>
    <t>роза лига</t>
  </si>
  <si>
    <t>роза батшеба</t>
  </si>
  <si>
    <t>роза беатрис</t>
  </si>
  <si>
    <t>роза английская беатрис</t>
  </si>
  <si>
    <t>роза бенжамин бриттен</t>
  </si>
  <si>
    <t>роза бриттен</t>
  </si>
  <si>
    <t>английские розы бенжамин бриттен</t>
  </si>
  <si>
    <t>роза дарси басселл</t>
  </si>
  <si>
    <t>роза английская дарси басселл</t>
  </si>
  <si>
    <t>роза грехам томас</t>
  </si>
  <si>
    <t>роза королева швеции</t>
  </si>
  <si>
    <t>роза принцесса александра оф кент</t>
  </si>
  <si>
    <t>роза тизинг джорджия</t>
  </si>
  <si>
    <t>роза винчестер кафедрал</t>
  </si>
  <si>
    <t>роза зэ дарк леди</t>
  </si>
  <si>
    <t>роза клер роуз</t>
  </si>
  <si>
    <t>роза вильям моррис</t>
  </si>
  <si>
    <t>роза миранда</t>
  </si>
  <si>
    <t>роза джанет</t>
  </si>
  <si>
    <t>роза имоджен</t>
  </si>
  <si>
    <t>роза инглиш гарден</t>
  </si>
  <si>
    <t>роза аой</t>
  </si>
  <si>
    <t>роза мисаки</t>
  </si>
  <si>
    <t>роза мияби</t>
  </si>
  <si>
    <t>роза латте арт</t>
  </si>
  <si>
    <t>роза нью вейв</t>
  </si>
  <si>
    <t>роза ле сайл блу</t>
  </si>
  <si>
    <t>роза плюм</t>
  </si>
  <si>
    <t>роза сидзуку</t>
  </si>
  <si>
    <t>роза тамамо</t>
  </si>
  <si>
    <t>роза принцесса хитоми</t>
  </si>
  <si>
    <t>роза роял палас</t>
  </si>
  <si>
    <t>роза блю романеско</t>
  </si>
  <si>
    <t>роза волнистая рябь</t>
  </si>
  <si>
    <t>роза балерина</t>
  </si>
  <si>
    <t>роза мускусная балерина</t>
  </si>
  <si>
    <t xml:space="preserve">роза балерина купить </t>
  </si>
  <si>
    <t>роза робин гуд</t>
  </si>
  <si>
    <t>роза просперити</t>
  </si>
  <si>
    <t>роза фелиция</t>
  </si>
  <si>
    <t>роза бафф бьюти</t>
  </si>
  <si>
    <t>роза динки</t>
  </si>
  <si>
    <t>роза мускусная динки</t>
  </si>
  <si>
    <t>роза плезантри</t>
  </si>
  <si>
    <t>роза эльмшорн</t>
  </si>
  <si>
    <t>роза хеди гримм</t>
  </si>
  <si>
    <t>роза сибелиус</t>
  </si>
  <si>
    <t>роза букаву</t>
  </si>
  <si>
    <t>роза алден бизен</t>
  </si>
  <si>
    <t>роза моцартс леди</t>
  </si>
  <si>
    <t>роза беби баккара</t>
  </si>
  <si>
    <t>роза беби маскарад</t>
  </si>
  <si>
    <t>роза мими эден</t>
  </si>
  <si>
    <t>роза ред фейри</t>
  </si>
  <si>
    <t>роза помпей</t>
  </si>
  <si>
    <t>роза помпеи</t>
  </si>
  <si>
    <t>роза браун шугар</t>
  </si>
  <si>
    <t>роза мисти баблс</t>
  </si>
  <si>
    <t>роза кустовая мисти баблс</t>
  </si>
  <si>
    <t>роза ханимилк</t>
  </si>
  <si>
    <t>роза макарена</t>
  </si>
  <si>
    <t>роза даймонд айс</t>
  </si>
  <si>
    <t>роза пинк флэш</t>
  </si>
  <si>
    <t>роза тирамису</t>
  </si>
  <si>
    <t>роза оранж триумф</t>
  </si>
  <si>
    <t>роза джон дэвис</t>
  </si>
  <si>
    <t>роза канадская джон дэвис</t>
  </si>
  <si>
    <t>роза уильям баффин</t>
  </si>
  <si>
    <t>роза агнес</t>
  </si>
  <si>
    <t>роза васагейминг</t>
  </si>
  <si>
    <t>роза катберт грант</t>
  </si>
  <si>
    <t>роза лак маджеу</t>
  </si>
  <si>
    <t>роза три свадьбы</t>
  </si>
  <si>
    <t>роза гартнерфройде</t>
  </si>
  <si>
    <t>роза четыре сезона</t>
  </si>
  <si>
    <t>роза бесси</t>
  </si>
  <si>
    <t>роза роди</t>
  </si>
  <si>
    <t>роза дер зинне</t>
  </si>
  <si>
    <t>роза кастельрутер шпатцен</t>
  </si>
  <si>
    <t>роза рихард штраус</t>
  </si>
  <si>
    <t>роза штраус</t>
  </si>
  <si>
    <t>роза боника</t>
  </si>
  <si>
    <t>роза сахара</t>
  </si>
  <si>
    <t>роза сахары</t>
  </si>
  <si>
    <t>роза геркулес</t>
  </si>
  <si>
    <t>роза алхимист</t>
  </si>
  <si>
    <t>роза рейни блю</t>
  </si>
  <si>
    <t>роза блю бой</t>
  </si>
  <si>
    <t>роза амелия ренессанс</t>
  </si>
  <si>
    <t>роза бисантенэр де гийо</t>
  </si>
  <si>
    <t>роза декор арлекин</t>
  </si>
  <si>
    <t>роза голден зест</t>
  </si>
  <si>
    <t>роза вайлд блю йондер</t>
  </si>
  <si>
    <t>роза бонанза</t>
  </si>
  <si>
    <t>роза лимбо</t>
  </si>
  <si>
    <t>роза блю парфюм</t>
  </si>
  <si>
    <t>роза биг перпл</t>
  </si>
  <si>
    <t>роза баркароле</t>
  </si>
  <si>
    <t>роза супер стар</t>
  </si>
  <si>
    <t>роза атена</t>
  </si>
  <si>
    <t>роза блаш</t>
  </si>
  <si>
    <t>роза амбианс</t>
  </si>
  <si>
    <t>роза анна</t>
  </si>
  <si>
    <t>роза беверли</t>
  </si>
  <si>
    <t>роза аспирин</t>
  </si>
  <si>
    <t>роза акрополис</t>
  </si>
  <si>
    <t>роза априкола</t>
  </si>
  <si>
    <t>роза алабастер</t>
  </si>
  <si>
    <t>роза баронесса</t>
  </si>
  <si>
    <t>роза амаретто</t>
  </si>
  <si>
    <t>роза лав сонг</t>
  </si>
  <si>
    <t>роза айконик</t>
  </si>
  <si>
    <t>роза аут оф розенхайм</t>
  </si>
  <si>
    <t>роза терра лимбургия</t>
  </si>
  <si>
    <t>роза бенгали</t>
  </si>
  <si>
    <t>роза дортмунд</t>
  </si>
  <si>
    <t>роза камелот</t>
  </si>
  <si>
    <t>роза компассион</t>
  </si>
  <si>
    <t>роза вейльхенблау</t>
  </si>
  <si>
    <t>роза кисс ми кейт</t>
  </si>
  <si>
    <t>роза момо</t>
  </si>
  <si>
    <t>роза дрим уивер</t>
  </si>
  <si>
    <t>роза амнести интернешнл</t>
  </si>
  <si>
    <t>роза дансинг квин</t>
  </si>
  <si>
    <t>роза блю маджента</t>
  </si>
  <si>
    <t>роза брауни</t>
  </si>
  <si>
    <t>букет</t>
  </si>
  <si>
    <t>доставка цветов</t>
  </si>
  <si>
    <t>цветочный магазин</t>
  </si>
  <si>
    <t>цветы в коробке</t>
  </si>
  <si>
    <t>розы в коробке</t>
  </si>
  <si>
    <t>искусственная</t>
  </si>
  <si>
    <t>стабилизированная</t>
  </si>
  <si>
    <t>мыльная</t>
  </si>
  <si>
    <t>бумажная</t>
  </si>
  <si>
    <t>роза из бумаги</t>
  </si>
  <si>
    <t>роза из фоамирана</t>
  </si>
  <si>
    <t>роза из бисера</t>
  </si>
  <si>
    <t>роза из ленты</t>
  </si>
  <si>
    <t>канзаши</t>
  </si>
  <si>
    <t>оригами</t>
  </si>
  <si>
    <t>вышивка</t>
  </si>
  <si>
    <t>крючком</t>
  </si>
  <si>
    <t>схема вышивки</t>
  </si>
  <si>
    <t>поделка</t>
  </si>
  <si>
    <t>аппликация</t>
  </si>
  <si>
    <t>тату</t>
  </si>
  <si>
    <t>татуировка</t>
  </si>
  <si>
    <t>эскиз</t>
  </si>
  <si>
    <t>раскраска</t>
  </si>
  <si>
    <t>рисунок</t>
  </si>
  <si>
    <t>нарисовать</t>
  </si>
  <si>
    <t>вектор</t>
  </si>
  <si>
    <t>png</t>
  </si>
  <si>
    <t>svg</t>
  </si>
  <si>
    <t>gif</t>
  </si>
  <si>
    <t>jpg</t>
  </si>
  <si>
    <t>jpeg</t>
  </si>
  <si>
    <t>обои</t>
  </si>
  <si>
    <t>фон</t>
  </si>
  <si>
    <t>иконка</t>
  </si>
  <si>
    <t>эмодзи</t>
  </si>
  <si>
    <t>emoji</t>
  </si>
  <si>
    <t>стикер</t>
  </si>
  <si>
    <t>клипарт</t>
  </si>
  <si>
    <t>песня</t>
  </si>
  <si>
    <t>слушать</t>
  </si>
  <si>
    <t>скачать</t>
  </si>
  <si>
    <t>текст песни</t>
  </si>
  <si>
    <t>аккорды</t>
  </si>
  <si>
    <t>караоке</t>
  </si>
  <si>
    <t>ноты</t>
  </si>
  <si>
    <t>клип</t>
  </si>
  <si>
    <t>фильм</t>
  </si>
  <si>
    <t>сериал</t>
  </si>
  <si>
    <t>мультфильм</t>
  </si>
  <si>
    <t>трейлер</t>
  </si>
  <si>
    <t>книга</t>
  </si>
  <si>
    <t>читать</t>
  </si>
  <si>
    <t>цитата</t>
  </si>
  <si>
    <t>стих</t>
  </si>
  <si>
    <t>стихотворение</t>
  </si>
  <si>
    <t>открытка</t>
  </si>
  <si>
    <t>поздравление</t>
  </si>
  <si>
    <t>реферат</t>
  </si>
  <si>
    <t>доклад</t>
  </si>
  <si>
    <t>презентация</t>
  </si>
  <si>
    <t>семена</t>
  </si>
  <si>
    <t>черенок</t>
  </si>
  <si>
    <t>луковицы</t>
  </si>
  <si>
    <t>клубни</t>
  </si>
  <si>
    <t>бесплатно</t>
  </si>
  <si>
    <t>даром</t>
  </si>
  <si>
    <t>отдам</t>
  </si>
  <si>
    <t>авито</t>
  </si>
  <si>
    <t>юла</t>
  </si>
  <si>
    <t>варенье</t>
  </si>
  <si>
    <t>джем</t>
  </si>
  <si>
    <t>сироп</t>
  </si>
  <si>
    <t>розовое масло</t>
  </si>
  <si>
    <t>эфирное масло</t>
  </si>
  <si>
    <t>духи</t>
  </si>
  <si>
    <t>крем</t>
  </si>
  <si>
    <t>шампунь</t>
  </si>
  <si>
    <t>лосьон</t>
  </si>
  <si>
    <t>роза хутор</t>
  </si>
  <si>
    <t>роза ветров</t>
  </si>
  <si>
    <t>роза пустыни</t>
  </si>
  <si>
    <t>каменная роза</t>
  </si>
  <si>
    <t>иерихонская роза</t>
  </si>
  <si>
    <t>китайская роза</t>
  </si>
  <si>
    <t>суданская роза</t>
  </si>
  <si>
    <t>адениум</t>
  </si>
  <si>
    <t>молодило</t>
  </si>
  <si>
    <t>гибискус</t>
  </si>
  <si>
    <t>каркаде</t>
  </si>
  <si>
    <t>комнатная</t>
  </si>
  <si>
    <t>› роза плетистая</t>
  </si>
  <si>
    <t>› флорибунда</t>
  </si>
  <si>
    <t>› роза чайно гибридная</t>
  </si>
  <si>
    <t>› саженцы роз</t>
  </si>
  <si>
    <t>› розы остина</t>
  </si>
  <si>
    <t>› роза шраб</t>
  </si>
  <si>
    <t>› почвопокровные розы</t>
  </si>
  <si>
    <t>› канадские розы</t>
  </si>
  <si>
    <t>› мускусные розы</t>
  </si>
  <si>
    <t>› тамара розы</t>
  </si>
  <si>
    <t>› японская роза</t>
  </si>
  <si>
    <t>› английская роза</t>
  </si>
  <si>
    <t>› роза миниатюрная</t>
  </si>
  <si>
    <t>› роза парковая</t>
  </si>
  <si>
    <t>› исторические розы</t>
  </si>
  <si>
    <t>по названию</t>
  </si>
  <si>
    <t>‹ Плетистые розы</t>
  </si>
  <si>
    <t>‹ Флорибунда</t>
  </si>
  <si>
    <t>‹ Роза чайно-гибридная</t>
  </si>
  <si>
    <t>‹ Саженцы роз</t>
  </si>
  <si>
    <t>‹ Розы остина</t>
  </si>
  <si>
    <t>‹ Роза шраб</t>
  </si>
  <si>
    <t>‹ Мускусные розы</t>
  </si>
  <si>
    <t>‹ Канадские розы</t>
  </si>
  <si>
    <t>‹ Тамара розы</t>
  </si>
  <si>
    <t>‹ Японская роза</t>
  </si>
  <si>
    <t>‹ Английская роза</t>
  </si>
  <si>
    <t>‹ Роза миниатюрная</t>
  </si>
  <si>
    <t>‹ Роза парковая</t>
  </si>
  <si>
    <t>‹ Исторические розы</t>
  </si>
  <si>
    <t>‹ Почвопокровные розы</t>
  </si>
  <si>
    <t>страна</t>
  </si>
  <si>
    <t>столица</t>
  </si>
  <si>
    <t xml:space="preserve">запрос                                                          </t>
  </si>
  <si>
    <t>Столбец1</t>
  </si>
  <si>
    <t>Столбец2</t>
  </si>
  <si>
    <t>Столбец3</t>
  </si>
  <si>
    <t>Столбец4</t>
  </si>
  <si>
    <t>Столбец5</t>
  </si>
  <si>
    <t>Столбец6</t>
  </si>
  <si>
    <t>Столбец7</t>
  </si>
  <si>
    <t>Столбец8</t>
  </si>
  <si>
    <t>› роза чайно-гибридная</t>
  </si>
  <si>
    <t>› розы Остина</t>
  </si>
  <si>
    <t>› Тамара розы</t>
  </si>
  <si>
    <t xml:space="preserve">частотность         </t>
  </si>
  <si>
    <t xml:space="preserve">частотность           </t>
  </si>
  <si>
    <t xml:space="preserve">запрос           </t>
  </si>
  <si>
    <t xml:space="preserve">частотность                    </t>
  </si>
  <si>
    <t xml:space="preserve">запрос                 </t>
  </si>
  <si>
    <t xml:space="preserve">частотность                     </t>
  </si>
  <si>
    <t xml:space="preserve">запрос             </t>
  </si>
  <si>
    <t xml:space="preserve">частотность                                        </t>
  </si>
  <si>
    <t xml:space="preserve">частотность                                       </t>
  </si>
  <si>
    <t xml:space="preserve">запрос                                                                       </t>
  </si>
  <si>
    <t xml:space="preserve">частотность                                                           </t>
  </si>
  <si>
    <t xml:space="preserve">запрос                                                                               </t>
  </si>
  <si>
    <t xml:space="preserve">частотность                                                                                        </t>
  </si>
  <si>
    <t xml:space="preserve">запрос                                                                      </t>
  </si>
  <si>
    <t xml:space="preserve">частотность                                                                         </t>
  </si>
  <si>
    <t xml:space="preserve">запрос                                                                             </t>
  </si>
  <si>
    <t>роза си фоум</t>
  </si>
  <si>
    <t>Шрабы</t>
  </si>
  <si>
    <t>Саженцы роз</t>
  </si>
  <si>
    <t>Плетистые розы</t>
  </si>
  <si>
    <t>× На странице нет ни одного шраба для покупки: вместо корзины — только уведомление о поступлении без даты, когда саженцы появятся.</t>
  </si>
  <si>
    <t>✓ Есть короткое объяснение, что такое шрабы.</t>
  </si>
  <si>
    <t>Есть ли ответы на реальные вопросы покупателя: как выбрать сорт, что делать новичку, как сажать, чем отличаются группы роз, что подойдёт для конкретной ситуации. Помогает ли текст человеку решить задачу.</t>
  </si>
  <si>
    <t>Содержание и экспертность</t>
  </si>
  <si>
    <t>10</t>
  </si>
  <si>
    <t>✓ Все шрабы продаются с закрытой корневой системой.</t>
  </si>
  <si>
    <t>✓ Рядом есть материалы по посадке и обрезке роз.</t>
  </si>
  <si>
    <t>× Названия и описания сортов приходится изучать по отдельным карточкам: быстрого сравнения по параметрам не видно.</t>
  </si>
  <si>
    <t>✓ В карточках раскрываются происхождение, высота, аромат, морозостойкость и вариант поставки.</t>
  </si>
  <si>
    <t>✓ Основная часть шрабов представлена трёхлетними саженцами в семилитровых контейнерах.</t>
  </si>
  <si>
    <t>× Весь каталог визуально забит скидками до 80%, поэтому внимание уходит от сорта к распродаже.</t>
  </si>
  <si>
    <t>× Рядом с доступными сортами в выдаче много позиций со статусом «Нет в наличии».</t>
  </si>
  <si>
    <t>× Отборов по цвету, высоте, аромату и сроку цветения нет.</t>
  </si>
  <si>
    <t>× Каталог построен вокруг скидок до 37%, поэтому сорт и его особенности уходят на второй план.</t>
  </si>
  <si>
    <t>Качество и количество фото, вид куста целиком, цветка крупно, фото в саду, понятность масштаба, единый стиль каталога. Помогают ли изображения представить растение, а не просто украшают страницу.</t>
  </si>
  <si>
    <t>Визуальная подача товара</t>
  </si>
  <si>
    <t>06</t>
  </si>
  <si>
    <t>✓ В каталоге есть фильтры по селекционеру, стране, году селекции, зимостойкости, дождю и цене.</t>
  </si>
  <si>
    <t>× В фильтре доступна только сортировка по цене и названию.</t>
  </si>
  <si>
    <t>✓ Есть сорта с разной формой куста, окраской и характером цветения.</t>
  </si>
  <si>
    <t>× Шрабы растворяются внутри огромной универсальной витрины с тысячами других групп роз и садовых товаров.</t>
  </si>
  <si>
    <t>✓ У сортов подробно указаны цветение, размеры куста, устойчивость, возраст и контейнер.</t>
  </si>
  <si>
    <t>✓ В карточке сорта есть подробное описание куста, цветка и цена.</t>
  </si>
  <si>
    <t>✓ В карточках сразу видны фото, отзывы, температура, цена и кнопка покупки.</t>
  </si>
  <si>
    <t>× Выбрать сорт можно только сортировкой по цене, рейтингу и популярности.</t>
  </si>
  <si>
    <t>× В открытом разделе показан один сорт — Pink Robusta — и он отмечен как отсутствующий.</t>
  </si>
  <si>
    <t>Фото, цена, наличие, характеристики, описание, размер куста, цветение, аромат, устойчивость, рекомендации по посадке и уходу — насколько карточка помогает принять решение, а не просто показывает название.</t>
  </si>
  <si>
    <t>Карточка сорта</t>
  </si>
  <si>
    <t>05</t>
  </si>
  <si>
    <t>✓ Питомник сам выращивает шрабы в Псковской области и отправляет их напрямую с производственной площадки.</t>
  </si>
  <si>
    <t>× В открытой категории нет карточек сортов: сайт предлагает только оставить почту для уведомления о поступлении.</t>
  </si>
  <si>
    <t>✓ В карточках подробно описаны цветок, куст, аромат и цветение.</t>
  </si>
  <si>
    <t>✓ Рядом доступны фильтры по группе, селекции, окраске, морозостойкости, аромату и другим признакам.</t>
  </si>
  <si>
    <t>✓ Есть фильтры по цвету, высоте, диаметру цветка, махровости, аромату, возрасту и цене.</t>
  </si>
  <si>
    <t>× Шраб «Поль Нейрон» спрятан внутри раздела парковых роз.</t>
  </si>
  <si>
    <t>✓ Есть отбор по окраске, аромату, устойчивости к болезням, морозостойкости, дождю и жаре.</t>
  </si>
  <si>
    <t>✓ Саженцы заявлены с закрытой корневой системой в четырёхлитровых горшках.</t>
  </si>
  <si>
    <t>× В категории есть только сортировка, без отбора по цвету, высоте, аромату или зимостойкости.</t>
  </si>
  <si>
    <t>Есть ли деление по группам, цвету, высоте, сроку цветения, назначению, наличию, цене; можно ли быстро сузить выбор. Отдельно смотрим сортировку и поиск по сайту.</t>
  </si>
  <si>
    <t>Каталог и фильтрация</t>
  </si>
  <si>
    <t>04</t>
  </si>
  <si>
    <t>✓ Ссылка ведёт в отдельный каталог шрабов.</t>
  </si>
  <si>
    <t>✓ Ссылка ведёт в отдельную категорию шрабов.</t>
  </si>
  <si>
    <t>✓ На сайте есть отдельная группа «Шрабы».</t>
  </si>
  <si>
    <t>✓ Категория называется «Кустовые розы» и содержит 764 позиции</t>
  </si>
  <si>
    <t>✓ Ссылка ведёт в отдельный каталог кустовых роз-шрабов.</t>
  </si>
  <si>
    <t>× Отдельной категории шрабов нет: в каталоге есть только парковые, английские, чайно-гибридные и другие группы роз.</t>
  </si>
  <si>
    <t>✓ Ссылка ведёт в отдельную категорию шрабов из 20 позиций.</t>
  </si>
  <si>
    <t>✓ Ссылка ведёт в каталог шрабов.</t>
  </si>
  <si>
    <t>✓ Ссылка ведёт в нужную группу кустовых роз-шрабов.</t>
  </si>
  <si>
    <t>Запрос, заголовок результата, описание, ссылка, возможные быстрые ссылки — и что человек видит после перехода. Обещание из поиска сразу подтверждается на первом экране или человеку приходится искать нужное вручную.</t>
  </si>
  <si>
    <t>Поисковая выдача и соответствие посадочной странице</t>
  </si>
  <si>
    <t>01</t>
  </si>
  <si>
    <t>× У товаров одновременно встречаются «В наличии» и «Нет в наличии».</t>
  </si>
  <si>
    <t>Быстро ли открываются страницы, не прыгает ли вёрстка, работают ли кнопки, корзина, формы, поиск.</t>
  </si>
  <si>
    <t>Скорость и техническое удобство</t>
  </si>
  <si>
    <t>13</t>
  </si>
  <si>
    <t>✓ На главной сразу видны цена, наличие и кнопка заказа у хитов.</t>
  </si>
  <si>
    <t>× В общей выдаче первыми идут позиции «розы в ассортименте», без конкретного сорта.</t>
  </si>
  <si>
    <t>× В каталоге встречаются безымянные позиции вроде «№37 Розовая пустая не махровая».</t>
  </si>
  <si>
    <t>× В одной ленте смешаны штамбовые, миниатюрные и другие группы роз.</t>
  </si>
  <si>
    <t>✓ Питомник подробно показывает возраст и объём контейнера у саженцев.</t>
  </si>
  <si>
    <t>× В выдаче упор сделан на цену «от 299 ₽», а не на особенности
самих саженцев.</t>
  </si>
  <si>
    <t>✓ В каталоге есть отдельные группы роз, хиты и новинки.</t>
  </si>
  <si>
    <t>✓ В карточках каталога уже видны высота куста, ширина и размер цветка.</t>
  </si>
  <si>
    <t>✓ В выдаче видны названия сортов и цены.</t>
  </si>
  <si>
    <t>✓ Есть отдельные группы: кустовые, плетистые, чайно-гибридные, флорибунда и другие.</t>
  </si>
  <si>
    <t>✓ Все сорта заявлены как привитые на зимостойкий подвой и выращенные в семилитровых контейнерах.</t>
  </si>
  <si>
    <t>× У общего каталога нет фильтра по цвету, высоте, аромату или зимостойкости.</t>
  </si>
  <si>
    <t>✓ В каталоге 184 позиции, у карточек есть цена, скидка, рейтинг, отзывы и покупка.</t>
  </si>
  <si>
    <t>× Для общего выбора роз нет удобного отбора по цвету, высоте или аромату.</t>
  </si>
  <si>
    <t>✓ У карточек сразу видны название, цена, наличие и кнопка покупки.</t>
  </si>
  <si>
    <t>✓ Сразу указано: питомник сам выращивает и продаёт саженцы.</t>
  </si>
  <si>
    <t>✓ Есть отбор по селекционеру, аромату, окраске и зимостойкости.</t>
  </si>
  <si>
    <t>✓ Сайт специализируется на розах: английских, чайно-гибридных, флорибунда, плетистых, миниатюрных, спрей и шрабах.</t>
  </si>
  <si>
    <t>✓ В ассортименте заявлено более 1 800 сортов роз.</t>
  </si>
  <si>
    <t>✓ У товара видны класс розы, возраст, контейнер, цена и акция.</t>
  </si>
  <si>
    <t>✓ Группы роз вынесены отдельными ссылками над товарами.</t>
  </si>
  <si>
    <t>✓ Есть отбор по цвету, особенностям, морозостойкости, устойчивости к болезням и другим признакам.</t>
  </si>
  <si>
    <t>✓ Есть сильные фильтры по наличию, доставке, сроку отправки, группе, цвету и другим параметрам.</t>
  </si>
  <si>
    <t>× В каталоге 704 позиции, а отбор есть только по цене и скидке.</t>
  </si>
  <si>
    <t>✓ Страница прямо называет сайт питомником саженцев роз.</t>
  </si>
  <si>
    <t>✓ Открывается общий каталог роз.</t>
  </si>
  <si>
    <t>✓ Открывается каталог саженцев роз.</t>
  </si>
  <si>
    <t>✓ Страница сразу показывает саженцы питомника.</t>
  </si>
  <si>
    <t>✓ Открывается общий раздел «Саженцы роз».</t>
  </si>
  <si>
    <t>✓ Открывается общий каталог саженцев роз.</t>
  </si>
  <si>
    <t>✓ Открывается точный каталог саженцев роз.</t>
  </si>
  <si>
    <t>✓ Главная страница сразу показывает ассортимент роз разных групп.</t>
  </si>
  <si>
    <t>✓ Открывается раздел саженцев роз и отдельными группами сортов.</t>
  </si>
  <si>
    <t>✓ Открывается общий каталог «Саженцы роз».</t>
  </si>
  <si>
    <t>× В проверенной карточке ширина куста указана как «0 м», хотя в описании сорт назван раскидистым.</t>
  </si>
  <si>
    <t>✓ Категория, карточка сорта, доставка и корзина открылись без видимой технической ошибки.</t>
  </si>
  <si>
    <t>× Сайт сам предлагает писать на почту, если заказ не получается оформить из-за проблем с интернетом.</t>
  </si>
  <si>
    <t>Категория, карточка товара и разделы доставки открылись без видимой технической ошибки.</t>
  </si>
  <si>
    <t>× Статусы «в наличии», «заказ на 2026 год» и подтверждение наличия только после перезимовки делают сроки получения неочевидными.</t>
  </si>
  <si>
    <t>× Статус наличия противоречит кнопке покупки, поэтому техническое удобство снижено.</t>
  </si>
  <si>
    <t>✓ Категория, фильтры, карточки и элементы заказа открылись без видимой ошибки.</t>
  </si>
  <si>
    <t>✕ В карточке Polka одновременно указаны «В наличии» и «Закончился».</t>
  </si>
  <si>
    <t>✕ Две прямые ссылки на изображения товаров вернули ошибку 404.</t>
  </si>
  <si>
    <t>× На телефоне такой длинный фильтр потребует заметной прокрутки.</t>
  </si>
  <si>
    <t>× На телефоне длинное меню и фильтры потребуют много прокрутки до выбора сорта.</t>
  </si>
  <si>
    <t>× На телефоне выбор потребует переходов между страницами и долгой прокрутки.</t>
  </si>
  <si>
    <t>× На телефоне многоуровневый каталог и длинные списки фильтров увеличат число прокруток.</t>
  </si>
  <si>
    <t>× На телефоне длинные перечни параметров фильтра затруднят быстрый выбор.</t>
  </si>
  <si>
    <t>× На телефоне сорт придётся искать долгой прокруткой, потому что фильтров нет.</t>
  </si>
  <si>
    <t>✓ Путь выбора короткий — фильтр, карточка, корзина — и основные действия вынесены в меню.</t>
  </si>
  <si>
    <t>✕ 11 страниц каталога и длинные фильтры потребуют заметной прокрутки и ручного отбора с телефона.</t>
  </si>
  <si>
    <t>✕ Без фильтров по параметрам даже 23 сорта на телефоне придётся выбирать вручную.</t>
  </si>
  <si>
    <t>✕ Длинный список сортов без параметрических фильтров на телефоне придётся отбирать ручной прокруткой.</t>
  </si>
  <si>
    <t>✕ На телефоне выбор из 97 карточек при фильтре только по цене и скидке будет требовать долгой прокрутки.</t>
  </si>
  <si>
    <t>Удобно ли смотреть каталог, открывать карточки, листать фото, пользоваться фильтрами и оформлять заказ с телефона.</t>
  </si>
  <si>
    <t>Мобильная версия</t>
  </si>
  <si>
    <t>12</t>
  </si>
  <si>
    <t>× Фильтр перегружен десятками узких значений высоты и селекционеров, поэтому быстро сузить выбор трудно.</t>
  </si>
  <si>
    <t>× Широкое меню и посторонние товарные разделы размывают внимание до перехода к розам.</t>
  </si>
  <si>
    <t>× Пять страниц каталога замедляют сравнение сортов.</t>
  </si>
  <si>
    <t>× Фокус на розах теряется среди тысяч разделов: семян, удобрений, инвентаря и садовых товаров.</t>
  </si>
  <si>
    <t>× Страница перегружена акциями, новинками и длинными описаниями, поэтому сравнивать сорта неудобно.</t>
  </si>
  <si>
    <t>× Длинные описания начинаются уже в выдаче и мешают быстро сравнить сорта.</t>
  </si>
  <si>
    <t>✕ Одинаковые яркие скидки и перечёркнутые цены у большинства из 25 товаров делают каталог визуально шумным.</t>
  </si>
  <si>
    <t>✕ До карточек покупатель проходит длинное меню, блок новостей и статей, поэтому каталог начинается не сразу.</t>
  </si>
  <si>
    <t>✓ В разделе 23 сорта на двух страницах, у карточек сразу видны название, цена и статус наличия.</t>
  </si>
  <si>
    <t>✕ До каталога повторяются широкие меню и группы, из-за чего товарный фокус размазывается.</t>
  </si>
  <si>
    <t>✕ По плетистым розам дан только короткий справочный абзац, а статьи рядом с карточкой не помогают выбрать или посадить розу.</t>
  </si>
  <si>
    <t>Размер текста, контраст, длина блоков, понятность кнопок, не мешают ли баннеры и всплывающие окна, видно ли главное без перегруза.</t>
  </si>
  <si>
    <t>Читаемость и визуальная иерархия</t>
  </si>
  <si>
    <t>11</t>
  </si>
  <si>
    <t>✓ Есть статьи по выбору и посадке роз, а в карточках — подробные параметры конкретного сорта.</t>
  </si>
  <si>
    <t>✓ Есть советы по посадке и обрезке, подробное описание сорта и возможность задать вопрос агроному.</t>
  </si>
  <si>
    <t>✓ Есть раздел «Делимся опытом» с материалами для розоводов.</t>
  </si>
  <si>
    <t>✓ Есть блог, тематические подборки и подробные описания сортов</t>
  </si>
  <si>
    <t>✓ Есть «Школа розоводов», а карточки раскрывают происхождение сорта, характеристики и награды.</t>
  </si>
  <si>
    <t>✓ В описании сорта есть параметры куста, цветения и устойчивости к болезням.</t>
  </si>
  <si>
    <t>✓ В карточке есть инструкция от агронома и разделы по посадке и уходу.</t>
  </si>
  <si>
    <t>✓ Страница объясняет разницу между рамблерами и клаймингами, выбор места и базовый уход.</t>
  </si>
  <si>
    <t>✓ Есть отдельный раздел с советами для начинающих и пояснениями по группам роз</t>
  </si>
  <si>
    <t>✕ Статья полезная по структуре, но в тексте о плетистых розах внезапно появляется абзац о почвопокровных.</t>
  </si>
  <si>
    <t>✕ В каталоге 97 сортов, а без фильтров по параметрам их трудно быстро сравнить.</t>
  </si>
  <si>
    <t>× Оформить заказ можно только после обязательной регистрации на сайте.</t>
  </si>
  <si>
    <t>Розу можно положить в корзину сразу из каталога, а регистрация для заказа необязательна.</t>
  </si>
  <si>
    <t>✓ Сорт можно добавить в корзину или заказать прямо из карточки.</t>
  </si>
  <si>
    <t>✓ Есть «В корзину» и «Купить в 1 клик», а также вариант поставки и срок отправки.</t>
  </si>
  <si>
    <t>✓ Заказ можно оформить без регистрации через корзину, после чего связывается оператор.</t>
  </si>
  <si>
    <t>× Путь к заказу неясен: рядом стоят «Нет в наличии» и «В корзину».</t>
  </si>
  <si>
    <t>✓ У сортов сразу есть цена, количество, отзывы и кнопка «В корзину».</t>
  </si>
  <si>
    <t>✓ У товара сразу видны остаток, способы получения и кнопка «В корзину».</t>
  </si>
  <si>
    <t xml:space="preserve">✓ Можно сразу выбрать вариант растения, количество и нажать «В корзину», а для отсутствующего товара — запросить уведомление.
</t>
  </si>
  <si>
    <t>Есть ли понятное действие: «В каталог», «Купить», «Добавить в корзину», «Задать вопрос», «Получить консультацию». Сколько шагов от интереса к заказу и где человек может потеряться.</t>
  </si>
  <si>
    <t>Конверсионный путь: что сайт предлагает сделать</t>
  </si>
  <si>
    <t>09</t>
  </si>
  <si>
    <t>✓ Стоимость доставки показывается при оформлении, доступны СДЭК и Почта России, после отправки приходит трек-номер.</t>
  </si>
  <si>
    <t>× Доставка оплачивается отдельно по каждой посылке, а её цена зависит от веса, расстояния, тарифа и страхового сбора.</t>
  </si>
  <si>
    <t>✓ Условия доставки, оплаты и адресной доставки СДЭК вынесены отдельно.</t>
  </si>
  <si>
    <t>✓ Прописаны службы доставки, сроки отправки, лимит веса посылки, упаковка и гарантия сортности.</t>
  </si>
  <si>
    <t>× Условия доставки запутаны: стоимость зависит от суммы, километража, акции и города, а в часть городов заказ привозят только до стоянки машин, не по адресу и дату назначает питомник.</t>
  </si>
  <si>
    <t>✓ Описаны самовывоз, минимальный заказ, стоимость и сроки доставки.</t>
  </si>
  <si>
    <t>✓ Сроки отправки зависят от погоды, но эта логика и регионы отправки описаны заранее.</t>
  </si>
  <si>
    <t>✓ Подробно прописаны самовывоз, курьер, Почта России, СДЭК, Яндекс.Доставка, сроки и стоимость.</t>
  </si>
  <si>
    <t>✓ Подробно описаны оформление, доставка, стоимость, сроки и подтверждение заказа.</t>
  </si>
  <si>
    <t>✓ Указаны минимальный заказ от 1 000 ₽, доставка по России, ориентировочные сроки и стоимость, способы оплаты.</t>
  </si>
  <si>
    <t>✓ Отдельно и понятно описаны самовывоз, доставка по России, расчёт стоимости, стопроцентная оплата и способы оплаты.</t>
  </si>
  <si>
    <t>Цена, наличие, минимальная сумма заказа, доставка, сроки отправки, регионы, оплата, самовывоз, возвраты или порядок решения проблем. Легко ли это найти и понятно ли написано.</t>
  </si>
  <si>
    <t>Условия покупки</t>
  </si>
  <si>
    <t>08</t>
  </si>
  <si>
    <t>✓ На сайте указаны адрес питомника, телефоны, почта и информация основательницы о собственном производстве.</t>
  </si>
  <si>
    <t>✓ Указаны юридические реквизиты, адрес в Нижнем Новгороде, бесплатный телефон и почта.</t>
  </si>
  <si>
    <t>✓ Указаны питомник в Краснодарском крае, почта и контакты сотрудников.</t>
  </si>
  <si>
    <t>✓ Указаны ИП, ИНН, ОГРН, телефон, адрес и отзывы покупателей.</t>
  </si>
  <si>
    <t>✓ Указаны адрес питомника, график, телефоны, почта и ОГРН.</t>
  </si>
  <si>
    <t>✓ Указаны адрес точки в ТЦ «Садовод», телефоны, почта и оплата после проверки качества.</t>
  </si>
  <si>
    <t>✓ Опубликованы адрес, телефон, почта, ИНН, ОГРН, отзывы и форма претензии.
Гарденмарт прямо пишет, что закупает товар в лицензированных питомниках; собственный питомник на сайте упомянут как место хранения растений между сезонами.</t>
  </si>
  <si>
    <t>✓ Указаны контакты, физические точки, отзывы 2026 года, работа 25 лет и гарантия возврата при гибели саженца по вине Почты.</t>
  </si>
  <si>
    <t>✓ Есть адрес, три телефона, почта и отзывы покупателей за 2025 год.</t>
  </si>
  <si>
    <t>✕ Контакты и отзывы есть, но первые видимые отзывы датированы 2018 годом, а раздел «О нас» говорит о семенах и поставщиках, не о выращивании роз.</t>
  </si>
  <si>
    <t xml:space="preserve">✓ Указаны реальный адрес, телефон, почта. </t>
  </si>
  <si>
    <t>Реальные контакты, адрес или понятное место работы, история питомника, отзывы, фото покупателей, гарантии, понятные правила по пересорту, браку и претензиям. Какие конкретные доказательства надёжности сайт показывает.</t>
  </si>
  <si>
    <t>Доверие к питомнику</t>
  </si>
  <si>
    <t>07</t>
  </si>
  <si>
    <t>✓ Фото сорта дополняется описанием куста, цветка, окраски, аромата и цветения.</t>
  </si>
  <si>
    <t>✓ В карточке есть несколько фото сорта и отдельный раздел «Фото покупателей».</t>
  </si>
  <si>
    <t>✓ На сайте есть отдельные разделы с фото и видео роз.</t>
  </si>
  <si>
    <t>✓ В карточке есть товарное фото, а рядом — ключевые параметры сорта и отзывы покупателей.</t>
  </si>
  <si>
    <t>✓ В карточке Фламментанц размещено семь фотографий сорта.</t>
  </si>
  <si>
    <t>✓ В карточке «Амадеус» размещены четыре фотографии растения.</t>
  </si>
  <si>
    <t>✓ Сайт заявляет реальные фото и видео саженцев из склада</t>
  </si>
  <si>
    <t>✕ В карточке показан один товарный снимок, без отдельного вида куста целиком и розы в саду.</t>
  </si>
  <si>
    <t>✕ В листинге на сорт показан один товарный кадр, поэтому куст, цветок крупно и розу в саду не сравнить.</t>
  </si>
  <si>
    <t>✕ Три фото «Лагуны» почти повторяют один крупный план цветка, куста целиком и растения в саду нет.</t>
  </si>
  <si>
    <t>✓ Карточка сорта показывает цену, наличие, характеристики, упаковку, подвой, гарантию сорта и доставку.</t>
  </si>
  <si>
    <t>✓ В карточке есть цена, возраст, объём горшка, срок отгрузки, размеры куста, аромат и морозостойкость.</t>
  </si>
  <si>
    <t>✓ В карточках есть цена, наличие, корзина и подробные параметры сорта.</t>
  </si>
  <si>
    <t>✓ Карточка сорта показывает цену, вариант поставки, высоту, зимостойкость, отзывы и кнопку покупки.</t>
  </si>
  <si>
    <t>✓ Карточка сорта показывает цену, наличие, характеристики, контейнер, возраст, подвой и срок посадки.</t>
  </si>
  <si>
    <t>✓ Карточка «Амадеус» даёт возраст, цену, цвет, аромат, зимостойкость и другие параметры сорта.</t>
  </si>
  <si>
    <t>✓ Указаны характеристики, возраст саженца, упаковка, подвой, сроки посадки, доставка и гарантия.</t>
  </si>
  <si>
    <t>✓ Указаны цена, наличие, высота, цвет, аромат, устойчивость к болезням и климатическая зона.</t>
  </si>
  <si>
    <t>✓ У «Лагуны» есть фото, цена, наличие, варианты саженца, высота, цветение, аромат, морозостойкость и устойчивость к болезням.</t>
  </si>
  <si>
    <t>✓ Фильтры позволяют отбирать розы по аромату, цветению, цвету, высоте, размеру цветка и селекционеру.</t>
  </si>
  <si>
    <t>✓ Можно отобрать розы по селекционеру, аромату, окраске и морозостойкости, а также отсортировать по цене и названию.</t>
  </si>
  <si>
    <t>× Каталог разбит на пять страниц, поэтому сорта приходится просматривать вручную.</t>
  </si>
  <si>
    <t>✓ Есть сортировка, фильтр цены, подбор по цвету и кнопка «Показать все фильтры».</t>
  </si>
  <si>
    <t>✓ Есть фильтры по классу, цвету, высоте, диаметру цветка, махровости, аромату, цене и возрасту саженца.</t>
  </si>
  <si>
    <t>× В каталоге нет фильтров и сортировки: сорта идут одним длинным списком.</t>
  </si>
  <si>
    <t>✓ Можно отбирать по цене, цвету, морозостойкости, аромату, устойчивости к болезням и другим признакам.</t>
  </si>
  <si>
    <t>✓ Есть отбор по наличию, доставке, цвету, цветению, зимостойкости, питомнику, селекционеру и высоте.</t>
  </si>
  <si>
    <t>✕ Есть только сортировка, а фильтров по цвету, высоте, аромату или сроку цветения нет.</t>
  </si>
  <si>
    <t>✕ Есть лишь сортировка по популярности, рейтингу и цене, без фильтров по цвету, высоте и сроку цветения.</t>
  </si>
  <si>
    <t>✕ В разделе плетистых есть только фильтр цены и скидки, без цвета, высоты, срока цветения или назначения</t>
  </si>
  <si>
    <t>✓ В меню есть каталог, оплата и доставка, статьи, контакты, вопросы и отзывы.</t>
  </si>
  <si>
    <t>✓ В меню есть каталог, доставка, гарантия, вопросы агроному, бонусы и оформление заказа.</t>
  </si>
  <si>
    <t>✓ В меню есть каталог, оформление заказа, доставка, контакты, статьи, фото и видео.</t>
  </si>
  <si>
    <t>✓ Хлебные крошки, каталог, доставка, оплата, отзывы, контакты и корзина доступны из меню.</t>
  </si>
  <si>
    <t>✓ В меню вынесены каталог, доставка, контакты, правила заказа и нужная группа роз.</t>
  </si>
  <si>
    <t>× Меню перегружено десятками категорий и повторяется перед каталогом.</t>
  </si>
  <si>
    <t>✓ Каталог, корзина, отзывы, доставка и вопросы-ответы.</t>
  </si>
  <si>
    <t>✓ Есть хлебные крошки: «Каталог → Розы → Плетистые розы» — они показывают покупателю его место в структуре сайта.</t>
  </si>
  <si>
    <t>✓ Категории роз, доставка, скидки, советы и контакты вынесены в основное меню.</t>
  </si>
  <si>
    <t>✓ Сразу доступны каталог, группы роз, доставка, упаковка, блог и контакты.</t>
  </si>
  <si>
    <t>✓ «Каталог», «Доставка», «Оплата», «Контакты» и «Статьи» вынесены в основное меню.</t>
  </si>
  <si>
    <t>Насколько легко попасть в каталог, нужную группу роз, доставку, оплату, отзывы, контакты. Путь логичный или нужная информация спрятана, меню перегружено или непонятно.</t>
  </si>
  <si>
    <t>Структура сайта и навигация</t>
  </si>
  <si>
    <t>03</t>
  </si>
  <si>
    <t>✓ В объявлении сразу видны питомник, собственное производство в Псковской области и покупка без посредников.</t>
  </si>
  <si>
    <t>× Это общий садово-огородный магазин: розы стоят рядом с семенами, кормами, косметикой и товарами для сада.
× Сайт заявляет “не перекупаем и не перепродаём”, но также пишет о сотрудничестве с российскими и зарубежными поставщиками семян и саженцев; собственное выращивание роз не подтверждено</t>
  </si>
  <si>
    <t>✓ Сразу понятно, что это питомник роз, а не общий садовый магазин.</t>
  </si>
  <si>
    <t>✓ С первого экрана понятно, что это крупный интернет-магазин садовых растений, а не узкий магазин роз.</t>
  </si>
  <si>
    <t>× До категории стоят новинки, акции и предложения других групп растений, поэтому фокус на плетистых розах теряется.</t>
  </si>
  <si>
    <t>✓ Видны цена от 1 200 ₽, возраст саженцев 2–5 лет и доставка по Москве и области.</t>
  </si>
  <si>
    <t>✓ Сразу видны категория, цена, акции и обещание качества саженцев.</t>
  </si>
  <si>
    <t>✓ Сразу понятно, что это подмосковный питомник роз в горшках с закрытой корневой системой.</t>
  </si>
  <si>
    <t>✕ Это широкий интернет-магазин растений, а не понятный с первого экрана специализированный питомник роз.</t>
  </si>
  <si>
    <t>✕ Видно садовый центр с каталогом растений, но причины покупать именно плетистые розы здесь не сформулированы.</t>
  </si>
  <si>
    <t>Понятно ли за несколько секунд: что это за питомник, что он продаёт, кому подходит, чем отличается от других. Смотрим первый экран, заголовок, подзаголовок, визуал, главный смысл.</t>
  </si>
  <si>
    <t>Позиционирование и первое впечатление</t>
  </si>
  <si>
    <t>02</t>
  </si>
  <si>
    <t>✓ Объявление ведёт сразу в каталог плетистых роз.</t>
  </si>
  <si>
    <t>✓ Объявление ведёт сразу в категорию плетистых роз.</t>
  </si>
  <si>
    <t>× Объявление ведёт в плетистые розы.</t>
  </si>
  <si>
    <t>✓ Объявление ведёт в нужную категорию плетистых крупноцветковых роз.</t>
  </si>
  <si>
    <t>✓ Объявление ведёт сразу в категорию «Плетистые розы».</t>
  </si>
  <si>
    <t>✕ По запросу о плетистых розах реклама ведёт на главную, а не сразу в нужную категорию.</t>
  </si>
  <si>
    <t>✕ Группа открывается нужная, но «от 299 ₽» в выдаче не совпадает с текущими ценами внутри каталога.</t>
  </si>
  <si>
    <t>✕ Ссылка ведёт в общий каталог «Саженцы роз», где нужную группу надо выбирать отдельно.</t>
  </si>
  <si>
    <t>Отстройка</t>
  </si>
  <si>
    <t>Что проверяем</t>
  </si>
  <si>
    <t>Параметр</t>
  </si>
  <si>
    <t>Запрос</t>
  </si>
  <si>
    <t>№</t>
  </si>
  <si>
    <t>Конкурентный SEO-, UX- и конверсионный анализ сайтов питомников роз</t>
  </si>
  <si>
    <t>Портрет: «АгроСемФонд» силён фильтрами и информативными карточками. Но целевой запрос по шрабам приводит на пустую страницу, часть каталога продаёт “розы в ассортименте” без имени сорта, а доставка нескольких позиций превращается в сложный расчёт.</t>
  </si>
  <si>
    <t>Шрабы фактически не продаются на своей же посадочной. Страница «Шраб розы» содержит фильтр и форму «Уведомить о поступлении», но не показывает ни одной карточки товара. При этом реальные шрабы есть в другом разделе — «Саженцы парковых кустарниковых роз», вперемешку с парковыми. Для человека, пришедшего именно за шрабами, это SEO- и конверсионный провал: точная категория пустая, а товар спрятан в другой.
Доставка собирается как отдельная задача. Расходы не включены в цену товара; при разных сроках отправки каждая посылка оплачивается отдельно. Почтовый тариф зависит от веса и расстояния, дополнительно есть страховой сбор. Для заказа нескольких саженцев итоговая стоимость становится менее предсказуемой.
В общем каталоге первыми стоят позиции «Розы в ассортименте» — без конкретного сорта. Для покупателя, который выбирает определённую розу по цвету, запаху или форме куста, это размывает сам принцип осознанного выбора.</t>
  </si>
  <si>
    <t>Что мешает покупке</t>
  </si>
  <si>
    <t xml:space="preserve">Фильтры по розам. Не просто цена и сортировка: селекционер, аромат, окраска и морозостойкость. Это реальный инструмент выбора, который работает и в плетистых, и в общем каталоге.
Карточка объясняет, какой саженец покупают. На проверенных сортах видны возраст, вариант корневой системы и объём горшка, срок отгрузки, размеры куста, диаметр цветка, аромат и морозостойкость. У «Антике» есть несколько фото и отдельный блок с фото покупателей. 
Советы встроены рядом с товаром. В карточках есть материалы по классификации роз и укрытию, а в категориях — ссылки на посадку и обрезку. Это не мёртвый блог где-то в подвале.
</t>
  </si>
  <si>
    <t>Сильная сторона</t>
  </si>
  <si>
    <t>↑ к списку</t>
  </si>
  <si>
    <t>сайт ↗</t>
  </si>
  <si>
    <t>10. АгроСемФонд —</t>
  </si>
  <si>
    <t>Быстрого подбора по параметрам не видно, а плетистые розы разбиты на пять страниц. При подробных карточках это всё равно заставляет вручную листать каталог и заходить в сорта по одному, чтобы сравнить их между собой.</t>
  </si>
  <si>
    <t>Слабая сторона</t>
  </si>
  <si>
    <t>Карточки сортов содержательные: параметры куста и цветка, цветение, аромат, оригинатор; у сортов есть цена, наличие и заказ. Это помогает понять сорт, а не просто увидеть название в каталоге.
Условия заказа и доставки раскрыты отдельно; адресная доставка СДЭК предусмотрена при выборе этого способа.
Раздел «Делимся опытом» не пустая вывеска: там есть практические материалы, например о передержке саженцев в холодильнике и высадке в грунт.</t>
  </si>
  <si>
    <t>9. Розы Нью-Джерси —</t>
  </si>
  <si>
    <t>Категорийные SEO-тексты выглядят устаревшими и шаблонными. В разделе кустовых роз текст всё ещё говорит о «весне 2022», затем внезапно уходит в плодовые кустарники и деревья.
В плетистых розах вместо помощи с выбором появляется кусок про виноград. Это не просто длинный текст: он размывает экспертность страницы и не помогает человеку выбрать сорт.
Доставка подробно описана, но не проста. Один заказ может уйти с разных складов и разными отправлениями, за каждое потребуется отдельная доставка; итог зависит от периода отправки, габаритов, региона и перевозчика. Для корзины с несколькими растениями это уже не прозрачная «доставка по России», а логистика, которую надо отдельно разбирать.</t>
  </si>
  <si>
    <t>Реальные барьеры для конверсии</t>
  </si>
  <si>
    <t xml:space="preserve">Что у неё действительно сильное
Большой выбор не остаётся просто цифрой, потому что его можно сужать. В прямых категориях есть фильтры и сортировка; у роз — отдельные группы, селекции, окраска, зимостойкость, аромат и другие признаки. В момент проверки сайт показывал 459 плетистых и 764 кустовых розы. Это уже не «много товаров», а рабочий инструмент выбора.
Карточки и каталог дают человеку опору для сравнения. В проверенной карточке «Фламентанц» сразу вынесены высота и зимостойкость, далее — описание куста, цветка и цветения; есть сравнение, вопросы и отзывы. Это не идеальная карточка мечты, но для большого ассортимента она не оставляет покупателя один на один с названием сорта.
Доставка не прячется до последнего шага. В карточке указаны службы доставки, максимальный вес посылки, сроки отгрузки товара в наличии и логика предзаказа. Это полезно: человек заранее понимает, что растение живое, сезонное и не поедет «завтра» в любом случае.
Подбор по конкретной задаче: например, сайт собирает отдельную подборку теневыносливых роз. Это помогает перейти от «хочу розу» к «какая выдержит мои условия».
</t>
  </si>
  <si>
    <t>8. Гаршинка —</t>
  </si>
  <si>
    <t>Точная посадочная по плетистым розам начинается не с них. До каталога идут новинка-шраб, блок новинок с флорибундами и почвопокровными розами, акции и общие сообщения питомника. Человек пришёл за плетистыми, а сайт сначала тащит его через чужой ассортимент и промо.
Доставка действительно тяжёлая и требует подстроиться под питомник. В часть городов заказ довозят только до стоянки машины, не по адресу; Почтой России не отправляют; день определяет питомник, а заказы идут в сезонной очереди.
Статус заказа не даёт мгновенного ответа, можно ли купить сорт сейчас: у «Фламментанц» одновременно стоят «В наличии» и «заказ на 2026 год», а инструкция говорит, что наличие окончательно подтверждает оператор уже после оформления заказа.
Фильтры сильные по смыслу, но подача перегружена: после нужных параметров идёт огромный общий список «Культура» — от абрикоса до укрывного материала. На телефоне это превращает полезный подбор в длинную прокрутку. Это не отменяет силу фильтров, но делает интерфейс тяжёлым.</t>
  </si>
  <si>
    <t xml:space="preserve">Подбор по параметрам действительно мощный: класс розы, цвет, высота, диаметр цветка, махровость, аромат, цена и возраст саженца. Это помогает сузить выбор из большого каталога, а не листать сорта вслепую. 
Карточка сорта раскрывает растение подробно. У «Фламментанц» — семь фотографий, характеристики цветка и куста, устойчивость, награда, возраст, контейнер и класс розы; сайт отдельно указывает зимостойкий подвой и 1–2 перезимовки в Подмосковье.
Взрослый формат саженца — реальная сила: в проверенных карточках шрабов указаны трёхлетние растения в семилитровых контейнерах.
Предоплата не требуется; после оформления оператор подтверждает наличие, оплата — при получении или перед доставкой. Это снижает риск покупателя.
</t>
  </si>
  <si>
    <t>7. Русроза —</t>
  </si>
  <si>
    <t>Нет быстрого подбора: на проверенных страницах не видно ни фильтров, ни сортировки. При этом в листинге уже разворачиваются длинные описания сортов. Человек не отбирает розы по параметрам, а вручную продирается через длинную ленту.
В карточке «Амадеус» одновременно стоят «Нет в наличии», «Заказать» и «В корзину». Это не мелочь, а прямой удар по конверсии: покупатель не понимает, можно ли сейчас купить сорт.
У сайта провалена логика групп: в общем каталоге после ссылок на группы подряд идут штамбовые, миниатюрные и плетистые розы; отдельной категории шрабов нет. Шраб «Поль Нейрон» находится внутри парковых роз. Для человека, который ищет именно шрабы, путь становится неочевидным.
«Перед каталогом — большое многоуровневое меню с десятками нерелевантных для роз категорий».</t>
  </si>
  <si>
    <t>Слабые стороны</t>
  </si>
  <si>
    <t xml:space="preserve">Не просто закрытая корневая система, а взрослые саженцы 2–5 лет. Это понятная причина купить: человек берёт не безымянный маленький саженец, а растение с обозначенным возрастом. Сайт отдельно заявляет выращивание в подмосковном питомнике и адаптацию к климату области.
Оплата после получения и проверки качества посадочного материала. Вот это реально сильный конверсионный аргумент: риск покупателя снижается до оплаты.
В карточке «Амадеус» есть возраст, цена, цвет, аромат, зимостойкость, устойчивость к болезням и период цветения; размещены четыре фотографии. Это помогает рассмотреть и понять сорт лучше, чем одна товарная картинка.
Условия заказа прописаны заранее: минимальная сумма доставки, самовывоз, стоимость доставки по Москве и области, согласование даты и времени.
</t>
  </si>
  <si>
    <t>Сильные стороны</t>
  </si>
  <si>
    <t>У «Плантсада» есть не вымученные сильные стороны — и несколько настоящих дыр в выборе и покупке.</t>
  </si>
  <si>
    <t>6. Плантсад —</t>
  </si>
  <si>
    <t>Каталог визуально построен вокруг постоянных крупных скидок, из-за чего сорт и его особенности уходят на второй план.</t>
  </si>
  <si>
    <t>Слабые стороны:</t>
  </si>
  <si>
    <t>Гарденмарт прямо пишет, что закупает товар в лицензированных питомниках; собственный питомник на сайте упомянут как место хранения растений между сезонами. Это не минус. Это модель работы. Для покупателя она может быть нейтральной или даже плюсовой, потому что магазин заявляет входной контроль посадочного материала.</t>
  </si>
  <si>
    <t>Во всех трёх проверках витрина задавлена одинаковыми скидками и перечёркнутыми ценами: в плетистых розах, общем каталоге и шрабах подряд повторяется «–80%», а иногда и «–91%». Роза, её характер и причина выбрать именно этот сорт визуально уступают распродаже.</t>
  </si>
  <si>
    <t>Сильный подбор сорта: цвет, аромат, морозостойкость, устойчивость к болезням, дождю, жаре и засухе, длительность цветения, теневыносливость. Это не «фильтр ради фильтра», а реальная помощь человеку, который выбирает розу под свои условия.
Карточки раскрывают сам саженец до покупки: возраст, упаковку, подвой, сроки посадки, условия выращивания, дату отправки, способы доставки, инструкцию агронома и гарантию. В проверенной карточке это не общие слова, а конкретные данные.
Хорошо снята тревога после покупки: сайт заранее объясняет отправку по регионам и погоде, а в гарантии прямо прописывает порядок обращения, сроки, замену товара или возврат денег при признанном гарантийном случае.
Сильная конверсионная подача: сайт заявляет реальные фото и видео саженцев со склада, гарантию сортности и возврат денег, если товар не соответствует обещанию. 
Инструкции по посадке и уходу встроены в путь покупки, а не лежат отдельной мёртвой статьёй в блоге. Это хочется забрать себе.</t>
  </si>
  <si>
    <t>Это сильный конкурент. Здесь не надо выдирать из него плюсы по одному и не надо придумывать второй минус.</t>
  </si>
  <si>
    <t>5. Гарденмарт —</t>
  </si>
  <si>
    <t>В категории заявлены 328 сортов, но доступно 14; рядом с доступными товарами много позиций «Нет в наличии».
На телефоне длинные фильтры и 11 страниц категории всё равно создают тяжёлый путь до выбора.</t>
  </si>
  <si>
    <t>Мощный подбор: наличие, доставка, цвет, цветение, высота, зимостойкость, питомник и селекционер.
Карточки помогают выбирать: характеристики, происхождение саженца, остаток, способ и срок отправки.
Полезный контент по выбору: объясняют разницу между рамблерами и клаймингами, место посадки и уход.
Сильная логистика и доверие: несколько способов доставки, понятные сроки, физические точки, свежие отзывы и условие возврата при гибели саженца по вине Почты.</t>
  </si>
  <si>
    <t>4. Подворье —</t>
  </si>
  <si>
    <t>Реклама по плетистым розам ведёт на главную, а не в нужную категорию.
Нет отбора по цвету, высоте, аромату и сроку цветения — выбирать приходится вручную.
В карточке Polka одновременно стоят статусы «В наличии» и «Закончился».</t>
  </si>
  <si>
    <t>Реальные слабые стороны:</t>
  </si>
  <si>
    <t>У «Грандифлоры» есть одна настоящая сильная сторона — не просто закрытая корневая система, а взрослые розы в четырёхлитровых горшках, минимум с тремя скелетными ветвями.
Человек понимает, что покупает не «веточку в пакете», а сформированный саженец.</t>
  </si>
  <si>
    <t>3. Грандифлора —</t>
  </si>
  <si>
    <t>Настоящей сильной стороны, которую стоило бы брать себе, я здесь пока не вижу. Низкая цена могла бы быть такой силой, но несоответствие цены в выдаче её ломает.</t>
  </si>
  <si>
    <t>Рекламное «от 299 ₽» не совпадает с текущими ценами в каталоге.
Нет фильтров по параметрам розы: цвету, высоте, сроку цветения.
Сайт не подтверждает собственное выращивание роз; раздел «О нас» говорит о поставщиках и семенах, а видимые отзывы старые.
Каталог построен вокруг скидок и цены, а не помогает выбрать сорт под задачу.</t>
  </si>
  <si>
    <t>2. Мой Садовод —</t>
  </si>
  <si>
    <t>Плюс: подробные характеристики в карточке сорта. Всё остальное — нормальная магазинная база.</t>
  </si>
  <si>
    <t>Что реально плохо: нерелевантный вход по плетистым, почти нет фильтрации, в карточках противоречат друг другу «В наличии» и «Нет в наличии», в шрабах одна отсутствующая позиция, слабая визуальная подача куста. В общем каталоге 704 роз, но сортировать можно только по цене и скидке.</t>
  </si>
  <si>
    <t>1. Южный —</t>
  </si>
  <si>
    <t>Открыть текст ↓</t>
  </si>
  <si>
    <t>КОНКУРЕНТЫ</t>
  </si>
  <si>
    <t>«Тамара Розы» — специализированный питомник с самой сильной для рекламы доказательной основой: собственное производство, прямые продажи, понятный формат саженца и многолетняя экспертиза основательницы. Сайт умеет раскрыть растение и его происхождение, но сам создаёт лишнее трение обязательной регистрацией, минимальным заказом от пяти саженцев, перегруженным фильтром и противоречивыми данными в карточках, ассортименте и оплате.</t>
  </si>
  <si>
    <t>Вывод по «Тамаре»</t>
  </si>
  <si>
    <t>Заказ возможен только после регистрации.Точную стоимость доставки пользователь видит на этапе оформления, то есть уже после входа в систему.
В текущем сообщении о приёме заказов есть условие: минимум пять любых саженцев. Для человека, который хочет купить одну розу «на пробу», это прямой барьер.
Фильтр богатый по параметрам, но дробный до неудобства: десятки почти одинаковых диапазонов высоты, длинные списки селекционеров и стран. Человек не быстро отсекает лишнее, а прокручивает огромный массив значений.
Ошибка в карточках не единичная. У «Мисс Скарлет» описание называет куст сильнорослым и раскидистым, а характеристика одновременно показывает ширину 0 м и ноль цветков на стебле. Такие поля подрывают доверие к фильтрам, потому что именно ими человек пытается выбирать розу.
На сайте расходятся цифры ассортимента: главная говорит о более чем 1 300 сортах, раздел «О питомнике» — о 569, FAQ — о более чем 1 400, статья — о более чем 1 500. В рекламу нельзя выносить ни одну фиксированную цифру, пока сайт не приведёт их к одному значению.
На одной странице оплаты одновременно написаны «только 100% предоплата» и возможность оплатить 50% с рассрочкой остатка. Для покупателя это две разные логики оплаты.</t>
  </si>
  <si>
    <t>Слабые стороны и барьеры конверсии</t>
  </si>
  <si>
    <t>Собственное производство роз в Пскове и прямые продажи из питомника. Это главная доказанная сила «Тамары», а не просто красивая формулировка. Сайт прямо противопоставляет производство перепродаже.
Формат саженца объяснён не общими словами: закрытая корневая система, торфяной субстрат, конкретный подвой, гарантия сорта и упаковка перед отправкой.
Экспертность не спрятана только в биографии: есть статьи, ответы на вопросы и обещанная консультация по подбору сорта под регион и условия выращивания.
Каталог даёт параметры для подбора: аромат, цветение, цвет, высота, размер цветка, селекционер, страна и год селекции, зимостойкость, устойчивость к дождю, цена.</t>
  </si>
  <si>
    <t>Настоящие сильные стороны</t>
  </si>
  <si>
    <t>Подбор и заказ саженцев через каталог; доставка СДЭК и Почтой России; расчёт стоимости доставки при оформлении; трек-номер после отправки; рассрочка оплаты; статьи по выбору и посадке; консультация по подбору сорта для региона и условий выращивания через сайт, телефон и соцсети.</t>
  </si>
  <si>
    <t>Услуги и помощь покупателю</t>
  </si>
  <si>
    <t>Это не абстрактное «качественные розы»: сайт показывает происхождение саженца, способ выращивания, упаковку, подвой и параметры конкретного сорта.</t>
  </si>
  <si>
    <t>Саженцы роз собственного выращивания из Пскова — напрямую из питомника, без посредников. Закрытая корневая система, конкретно названный подвой, гарантия сорта и подробное описание каждого растения до заказа.</t>
  </si>
  <si>
    <t>Основное УТП</t>
  </si>
  <si>
    <t>Сайт подтверждает собственное производство в Пскове с 2015 года, а не перепродажу или доращивание чужих растений. Основатель питомника — Тамара Петровна Борисова; сайт указывает её опыт в розоводстве более 35 лет.</t>
  </si>
  <si>
    <t>Питомник «Тамара Розы» выращивает и напрямую продаёт саженцы роз собственного производства из Пскова. В каталоге есть отдельные группы: плетистые, шрабы, английские, канадские, японские, флорибунда, чайно-гибридные и другие розы. Саженцы поставляются с закрытой корневой системой, привиты на подвой шиповника Rosa canina Schmidt’s Ideal. Доступны заказ через каталог, доставка СДЭК и Почтой России, подарочные сертификаты, статьи, ответы на вопросы и консультация по подбору сорта.</t>
  </si>
  <si>
    <t>Что предлагает компания</t>
  </si>
  <si>
    <t>Тамара Розы</t>
  </si>
  <si>
    <t>КОНКУРЕНТНЫЙ АНАЛИЗ — ТАМАРА РОЗЫ</t>
  </si>
  <si>
    <t>Три линии отстройки</t>
  </si>
  <si>
    <t>1. Не витрина поставщиков — питомник, который отвечает за то, что вырастил</t>
  </si>
  <si>
    <t>2. Не «розы в ассортименте» — конкретный сорт, за который питомник отвечает</t>
  </si>
  <si>
    <t>3. Не отправлять человека мучиться в каталоге — сначала помочь выбрать</t>
  </si>
  <si>
    <t>Это не отстройка сайта: у «Подворья», «Гарденмарта», «Русрозы» фильтры сильнее. И честно соревноваться тут нельзя.
Это отстройка рекламного маршрута: новичка или человека после пересорта не ведём в тяжёлый каталог. Ведём в сообщение, телефон или консультацию.
Отстройка:
Не знаете, какой сорт подойдёт — сначала подбор для вашего региона и условий, потом заказ.
Что за этим стоит:
У «Тамары» есть консультация по подбору, статьи, ответы на вопросы и опыт питомника. Не пишем «лучший подбор в России» и не пишем «удобный каталог» — это было бы враньём.
Рекламный смысл:
Не знаете, какую розу выбрать? Опишите условия — подберём сорта.</t>
  </si>
  <si>
    <t>Суть в тревоге: «Я выбираю конкретную розу или мне приедет что-то приблизительно розовое?»
Отстройка:
Не безымянная позиция из ассортимента, а конкретный сорт с гарантией сорта.
Что за этим стоит:
У «АгроСемФонда» в общей витрине первыми стоят «розы в ассортименте»; у части рынка реклама и карточки уходят в «от … ₽», скидки и распродажи. У «Тамары» можно строить смысл вокруг сортности и гарантии, не обещая при этом безошибочность каждой характеристики в каталоге.
Рекламный смысл:
Ищете конкретный сорт, а не «розы в ассортименте»?
Саженцы с гарантией сорта — напрямую из питомника.</t>
  </si>
  <si>
    <t xml:space="preserve">
Не обещаем контролировать перевозчика и не лезем в «доставим лучше».
Отстройка:
Саженцы собственного выращивания из Пскова — напрямую из питомника.
Что за этим стоит:
У «Тамары» — собственное производство и прямые продажи. У части рынка — каталог растений от разных поставщиков; у «Гарденмарта» это прямо заявленная модель закупки у лицензированных питомников.
Рекламный смысл: не «мы дешевле», а «человек покупает у того, кто растение вырастил».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</si>
</sst>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2">
    <font>
      <sz val="10"/>
      <color rgb="FF000000"/>
      <name val="Arial"/>
    </font>
    <font>
      <sz val="10"/>
      <color theme="1"/>
      <name val="Arial"/>
      <family val="2"/>
      <charset val="204"/>
    </font>
    <font>
      <sz val="10"/>
      <name val="Arial"/>
      <family val="2"/>
      <charset val="204"/>
    </font>
    <font>
      <b/>
      <sz val="10"/>
      <color theme="1"/>
      <name val="Arial"/>
      <family val="2"/>
      <charset val="204"/>
    </font>
    <font>
      <sz val="12"/>
      <color rgb="FF000000"/>
      <name val="Arial"/>
      <family val="2"/>
      <charset val="204"/>
    </font>
    <font>
      <sz val="12"/>
      <color theme="1"/>
      <name val="Arial"/>
      <family val="2"/>
      <charset val="204"/>
    </font>
    <font>
      <sz val="10"/>
      <color theme="10"/>
      <name val="Arial"/>
      <family val="2"/>
      <charset val="204"/>
    </font>
    <font>
      <b/>
      <i/>
      <sz val="11"/>
      <color theme="0"/>
      <name val="Arial"/>
      <family val="2"/>
      <charset val="204"/>
    </font>
    <font>
      <sz val="10"/>
      <color rgb="FF000000"/>
      <name val="Arial"/>
      <family val="2"/>
      <charset val="204"/>
    </font>
    <font>
      <sz val="11"/>
      <color rgb="FF000000"/>
      <name val="Arial"/>
      <family val="2"/>
      <charset val="204"/>
    </font>
    <font>
      <b/>
      <sz val="11"/>
      <color theme="0"/>
      <name val="Arial"/>
      <family val="2"/>
      <charset val="204"/>
    </font>
    <font>
      <b/>
      <sz val="12"/>
      <color rgb="FFFFFFFF"/>
      <name val="Arial"/>
      <family val="2"/>
      <charset val="204"/>
    </font>
    <font>
      <sz val="10"/>
      <color rgb="FF000000"/>
      <name val="Arial"/>
      <family val="2"/>
      <charset val="204"/>
    </font>
    <font>
      <sz val="10"/>
      <color theme="0"/>
      <name val="Arial"/>
      <family val="2"/>
      <charset val="204"/>
    </font>
    <font>
      <sz val="12"/>
      <name val="Arial"/>
      <family val="2"/>
      <charset val="204"/>
    </font>
    <font>
      <sz val="11"/>
      <name val="Carlito"/>
    </font>
    <font>
      <sz val="12"/>
      <color rgb="FF002060"/>
      <name val="Arial"/>
      <family val="2"/>
      <charset val="204"/>
    </font>
    <font>
      <sz val="10"/>
      <color rgb="FF1F1F1F"/>
      <name val="Arial"/>
      <family val="2"/>
      <charset val="204"/>
    </font>
    <font>
      <sz val="12"/>
      <color rgb="FF1F1F1F"/>
      <name val="Arial"/>
      <family val="2"/>
      <charset val="204"/>
    </font>
    <font>
      <b/>
      <sz val="12"/>
      <color rgb="FF002060"/>
      <name val="Arial"/>
      <family val="2"/>
      <charset val="204"/>
    </font>
    <font>
      <b/>
      <sz val="10"/>
      <color rgb="FF002060"/>
      <name val="Arial"/>
      <family val="2"/>
      <charset val="204"/>
    </font>
    <font>
      <sz val="14"/>
      <color theme="0"/>
      <name val="Carlito"/>
      <charset val="204"/>
    </font>
    <font>
      <b/>
      <i/>
      <sz val="14"/>
      <color theme="0"/>
      <name val="Arial"/>
      <family val="2"/>
      <charset val="204"/>
    </font>
    <font>
      <u/>
      <sz val="11"/>
      <color theme="10"/>
      <name val="Carlito"/>
    </font>
    <font>
      <u/>
      <sz val="14"/>
      <color theme="0"/>
      <name val="Carlito"/>
      <charset val="204"/>
    </font>
    <font>
      <b/>
      <i/>
      <sz val="16"/>
      <color rgb="FFFFFFFF"/>
      <name val="Arial"/>
      <family val="2"/>
      <charset val="204"/>
    </font>
    <font>
      <sz val="1"/>
      <color rgb="FF1F1F1F"/>
      <name val="Arial"/>
      <family val="2"/>
      <charset val="204"/>
    </font>
    <font>
      <b/>
      <sz val="10"/>
      <color rgb="FFFFFFFF"/>
      <name val="Arial"/>
      <family val="2"/>
      <charset val="204"/>
    </font>
    <font>
      <b/>
      <sz val="10"/>
      <color rgb="FFFF6D01"/>
      <name val="Arial"/>
      <family val="2"/>
      <charset val="204"/>
    </font>
    <font>
      <b/>
      <sz val="13"/>
      <color rgb="FFFFFFFF"/>
      <name val="Arial"/>
      <family val="2"/>
      <charset val="204"/>
    </font>
    <font>
      <b/>
      <sz val="18"/>
      <color rgb="FFFFFFFF"/>
      <name val="Arial"/>
      <family val="2"/>
      <charset val="204"/>
    </font>
    <font>
      <sz val="1"/>
      <color rgb="FFFF6D01"/>
      <name val="Arial"/>
      <family val="2"/>
      <charset val="204"/>
    </font>
    <font>
      <sz val="1"/>
      <color rgb="FFE6650A"/>
      <name val="Arial"/>
      <family val="2"/>
      <charset val="204"/>
    </font>
    <font>
      <sz val="1"/>
      <color rgb="FFCC5E14"/>
      <name val="Arial"/>
      <family val="2"/>
      <charset val="204"/>
    </font>
    <font>
      <sz val="1"/>
      <color rgb="FFB2561E"/>
      <name val="Arial"/>
      <family val="2"/>
      <charset val="204"/>
    </font>
    <font>
      <sz val="1"/>
      <color rgb="FF994E27"/>
      <name val="Arial"/>
      <family val="2"/>
      <charset val="204"/>
    </font>
    <font>
      <sz val="1"/>
      <color rgb="FF804630"/>
      <name val="Arial"/>
      <family val="2"/>
      <charset val="204"/>
    </font>
    <font>
      <sz val="1"/>
      <color rgb="FF663F3A"/>
      <name val="Arial"/>
      <family val="2"/>
      <charset val="204"/>
    </font>
    <font>
      <sz val="1"/>
      <color rgb="FF4C3744"/>
      <name val="Arial"/>
      <family val="2"/>
      <charset val="204"/>
    </font>
    <font>
      <sz val="1"/>
      <color rgb="FF332F4D"/>
      <name val="Arial"/>
      <family val="2"/>
      <charset val="204"/>
    </font>
    <font>
      <sz val="1"/>
      <color rgb="FF1A2856"/>
      <name val="Arial"/>
      <family val="2"/>
      <charset val="204"/>
    </font>
    <font>
      <sz val="1"/>
      <color rgb="FF002060"/>
      <name val="Arial"/>
      <family val="2"/>
      <charset val="204"/>
    </font>
  </fonts>
  <fills count="26">
    <fill>
      <patternFill patternType="none"/>
    </fill>
    <fill>
      <patternFill patternType="gray125"/>
    </fill>
    <fill>
      <patternFill patternType="solid">
        <fgColor theme="4" tint="0.79998168889431442"/>
        <bgColor theme="4" tint="0.79998168889431442"/>
      </patternFill>
    </fill>
    <fill>
      <patternFill patternType="solid">
        <fgColor rgb="FF002060"/>
        <bgColor indexed="64"/>
      </patternFill>
    </fill>
    <fill>
      <gradientFill>
        <stop position="0">
          <color rgb="FF002060"/>
        </stop>
        <stop position="1">
          <color rgb="FFFF6D01"/>
        </stop>
      </gradientFill>
    </fill>
    <fill>
      <gradientFill degree="315">
        <stop position="0">
          <color rgb="FF002060"/>
        </stop>
        <stop position="1">
          <color rgb="FFFF6D01"/>
        </stop>
      </gradientFill>
    </fill>
    <fill>
      <gradientFill type="path" top="1" bottom="1">
        <stop position="0">
          <color rgb="FF002060"/>
        </stop>
        <stop position="1">
          <color rgb="FFFF6D01"/>
        </stop>
      </gradientFill>
    </fill>
    <fill>
      <gradientFill type="path" left="0.5" right="0.5" top="0.5" bottom="0.5">
        <stop position="0">
          <color rgb="FF002060"/>
        </stop>
        <stop position="1">
          <color rgb="FFFF6D01"/>
        </stop>
      </gradientFill>
    </fill>
    <fill>
      <gradientFill degree="90">
        <stop position="0">
          <color rgb="FF0000FF"/>
        </stop>
        <stop position="1">
          <color rgb="FFFF6D01"/>
        </stop>
      </gradientFill>
    </fill>
    <fill>
      <patternFill patternType="solid">
        <fgColor theme="0"/>
        <bgColor indexed="64"/>
      </patternFill>
    </fill>
    <fill>
      <patternFill patternType="solid">
        <fgColor rgb="FFFFFFFF"/>
      </patternFill>
    </fill>
    <fill>
      <patternFill patternType="solid">
        <fgColor rgb="FFD9E7FD"/>
      </patternFill>
    </fill>
    <fill>
      <patternFill patternType="solid">
        <fgColor rgb="FF002060"/>
      </patternFill>
    </fill>
    <fill>
      <patternFill patternType="solid">
        <fgColor rgb="FFFF6E02"/>
      </patternFill>
    </fill>
    <fill>
      <patternFill patternType="solid">
        <fgColor rgb="FFEAF3FF"/>
      </patternFill>
    </fill>
    <fill>
      <patternFill patternType="solid">
        <fgColor rgb="FFD9EAF7"/>
      </patternFill>
    </fill>
    <fill>
      <patternFill patternType="solid">
        <fgColor rgb="FFFF6D01"/>
      </patternFill>
    </fill>
    <fill>
      <patternFill patternType="solid">
        <fgColor rgb="FFE6650A"/>
      </patternFill>
    </fill>
    <fill>
      <patternFill patternType="solid">
        <fgColor rgb="FFCC5E14"/>
      </patternFill>
    </fill>
    <fill>
      <patternFill patternType="solid">
        <fgColor rgb="FFB2561E"/>
      </patternFill>
    </fill>
    <fill>
      <patternFill patternType="solid">
        <fgColor rgb="FF994E27"/>
      </patternFill>
    </fill>
    <fill>
      <patternFill patternType="solid">
        <fgColor rgb="FF804630"/>
      </patternFill>
    </fill>
    <fill>
      <patternFill patternType="solid">
        <fgColor rgb="FF663F3A"/>
      </patternFill>
    </fill>
    <fill>
      <patternFill patternType="solid">
        <fgColor rgb="FF4C3744"/>
      </patternFill>
    </fill>
    <fill>
      <patternFill patternType="solid">
        <fgColor rgb="FF332F4D"/>
      </patternFill>
    </fill>
    <fill>
      <patternFill patternType="solid">
        <fgColor rgb="FF1A2856"/>
      </patternFill>
    </fill>
  </fills>
  <borders count="19">
    <border>
      <left/>
      <right/>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style="thin">
        <color theme="4" tint="0.39997558519241921"/>
      </left>
      <right/>
      <top style="thin">
        <color theme="4" tint="0.39997558519241921"/>
      </top>
      <bottom/>
      <diagonal/>
    </border>
    <border>
      <left/>
      <right/>
      <top style="thin">
        <color theme="4" tint="0.39997558519241921"/>
      </top>
      <bottom/>
      <diagonal/>
    </border>
    <border>
      <left style="thin">
        <color rgb="FF000000"/>
      </left>
      <right/>
      <top style="thin">
        <color theme="4" tint="0.39997558519241921"/>
      </top>
      <bottom/>
      <diagonal/>
    </border>
    <border>
      <left style="thin">
        <color indexed="64"/>
      </left>
      <right/>
      <top style="thin">
        <color theme="4" tint="0.39997558519241921"/>
      </top>
      <bottom/>
      <diagonal/>
    </border>
    <border>
      <left/>
      <right style="thin">
        <color indexed="64"/>
      </right>
      <top style="thin">
        <color theme="4" tint="0.39997558519241921"/>
      </top>
      <bottom/>
      <diagonal/>
    </border>
    <border>
      <left style="thin">
        <color rgb="FF0000FF"/>
      </left>
      <right style="thin">
        <color rgb="FF0000FF"/>
      </right>
      <top style="thin">
        <color rgb="FF0000FF"/>
      </top>
      <bottom/>
      <diagonal/>
    </border>
    <border>
      <left style="thin">
        <color rgb="FF0000FF"/>
      </left>
      <right style="thin">
        <color rgb="FF0000FF"/>
      </right>
      <top/>
      <bottom/>
      <diagonal/>
    </border>
    <border>
      <left style="thin">
        <color rgb="FF0000FF"/>
      </left>
      <right style="thin">
        <color rgb="FF0000FF"/>
      </right>
      <top/>
      <bottom style="thin">
        <color rgb="FF0000FF"/>
      </bottom>
      <diagonal/>
    </border>
    <border>
      <left style="thin">
        <color theme="4" tint="0.39997558519241921"/>
      </left>
      <right/>
      <top/>
      <bottom/>
      <diagonal/>
    </border>
    <border>
      <left/>
      <right/>
      <top/>
      <bottom style="thin">
        <color rgb="FF0000FF"/>
      </bottom>
      <diagonal/>
    </border>
    <border>
      <left/>
      <right/>
      <top/>
      <bottom style="thin">
        <color theme="2"/>
      </bottom>
      <diagonal/>
    </border>
    <border>
      <left/>
      <right style="thin">
        <color theme="2"/>
      </right>
      <top/>
      <bottom style="thin">
        <color theme="2"/>
      </bottom>
      <diagonal/>
    </border>
    <border>
      <left/>
      <right style="thin">
        <color theme="2"/>
      </right>
      <top/>
      <bottom/>
      <diagonal/>
    </border>
    <border>
      <left/>
      <right/>
      <top style="thin">
        <color theme="2"/>
      </top>
      <bottom style="thin">
        <color rgb="FF0000FF"/>
      </bottom>
      <diagonal/>
    </border>
    <border>
      <left/>
      <right style="thin">
        <color theme="0"/>
      </right>
      <top style="thin">
        <color theme="2"/>
      </top>
      <bottom style="thin">
        <color rgb="FF0000FF"/>
      </bottom>
      <diagonal/>
    </border>
    <border>
      <left/>
      <right style="thin">
        <color indexed="64"/>
      </right>
      <top style="thin">
        <color theme="4" tint="0.39997558519241921"/>
      </top>
      <bottom style="thin">
        <color theme="4" tint="0.39997558519241921"/>
      </bottom>
      <diagonal/>
    </border>
  </borders>
  <cellStyleXfs count="5">
    <xf numFmtId="0" fontId="0" fillId="0" borderId="0"/>
    <xf numFmtId="0" fontId="6" fillId="0" borderId="0" applyNumberFormat="0" applyFill="0" applyBorder="0" applyAlignment="0" applyProtection="0"/>
    <xf numFmtId="0" fontId="12" fillId="6" borderId="8" applyFont="0" applyBorder="0"/>
    <xf numFmtId="0" fontId="15" fillId="0" borderId="0"/>
    <xf numFmtId="0" fontId="23" fillId="0" borderId="0" applyNumberFormat="0" applyFill="0" applyBorder="0" applyAlignment="0" applyProtection="0"/>
  </cellStyleXfs>
  <cellXfs count="135">
    <xf numFmtId="0" fontId="0" fillId="0" borderId="0" xfId="0"/>
    <xf numFmtId="0" fontId="1" fillId="0" borderId="0" xfId="0" applyFont="1" applyAlignment="1">
      <alignment vertical="center" wrapText="1"/>
    </xf>
    <xf numFmtId="0" fontId="1" fillId="0" borderId="0" xfId="0" applyFont="1" applyAlignment="1">
      <alignment horizontal="left" vertical="center"/>
    </xf>
    <xf numFmtId="0" fontId="0" fillId="0" borderId="0" xfId="0" applyAlignment="1">
      <alignment vertical="center"/>
    </xf>
    <xf numFmtId="0" fontId="4" fillId="0" borderId="0" xfId="0" applyFont="1"/>
    <xf numFmtId="0" fontId="5" fillId="0" borderId="0" xfId="0" applyFont="1"/>
    <xf numFmtId="3" fontId="0" fillId="0" borderId="0" xfId="0" applyNumberFormat="1"/>
    <xf numFmtId="3" fontId="0" fillId="0" borderId="0" xfId="0" applyNumberFormat="1" applyAlignment="1">
      <alignment horizontal="center" vertical="center"/>
    </xf>
    <xf numFmtId="0" fontId="0" fillId="0" borderId="0" xfId="0" applyAlignment="1">
      <alignment horizontal="center" vertical="center"/>
    </xf>
    <xf numFmtId="0" fontId="0" fillId="0" borderId="0" xfId="0" applyAlignment="1">
      <alignment horizontal="left" vertical="center"/>
    </xf>
    <xf numFmtId="0" fontId="2" fillId="0" borderId="0" xfId="0" applyFont="1" applyAlignment="1">
      <alignment horizontal="center"/>
    </xf>
    <xf numFmtId="0" fontId="7" fillId="3" borderId="0" xfId="0" applyFont="1" applyFill="1" applyAlignment="1">
      <alignment horizontal="center" vertical="center" wrapText="1"/>
    </xf>
    <xf numFmtId="0" fontId="1" fillId="0" borderId="2" xfId="0" applyFont="1" applyBorder="1"/>
    <xf numFmtId="0" fontId="7" fillId="3" borderId="3" xfId="0" applyFont="1" applyFill="1" applyBorder="1" applyAlignment="1">
      <alignment horizontal="center" vertical="center" wrapText="1"/>
    </xf>
    <xf numFmtId="0" fontId="7" fillId="3" borderId="4" xfId="0" applyFont="1" applyFill="1" applyBorder="1" applyAlignment="1">
      <alignment horizontal="center" vertical="center" wrapText="1"/>
    </xf>
    <xf numFmtId="0" fontId="1" fillId="2" borderId="3" xfId="0" applyFont="1" applyFill="1" applyBorder="1" applyAlignment="1">
      <alignment wrapText="1"/>
    </xf>
    <xf numFmtId="0" fontId="1" fillId="2" borderId="4" xfId="0" applyFont="1" applyFill="1" applyBorder="1" applyAlignment="1">
      <alignment horizontal="left" vertical="center" wrapText="1"/>
    </xf>
    <xf numFmtId="0" fontId="1" fillId="2" borderId="4" xfId="0" applyFont="1" applyFill="1" applyBorder="1" applyAlignment="1">
      <alignment vertical="center" wrapText="1"/>
    </xf>
    <xf numFmtId="3" fontId="1" fillId="2" borderId="4" xfId="0" applyNumberFormat="1" applyFont="1" applyFill="1" applyBorder="1" applyAlignment="1">
      <alignment horizontal="center" vertical="center" wrapText="1"/>
    </xf>
    <xf numFmtId="0" fontId="1" fillId="2" borderId="4" xfId="0" applyFont="1" applyFill="1" applyBorder="1" applyAlignment="1">
      <alignment vertical="center"/>
    </xf>
    <xf numFmtId="0" fontId="1" fillId="2" borderId="4" xfId="0" applyFont="1" applyFill="1" applyBorder="1" applyAlignment="1">
      <alignment horizontal="left" vertical="center"/>
    </xf>
    <xf numFmtId="0" fontId="1" fillId="2" borderId="4" xfId="0" applyFont="1" applyFill="1" applyBorder="1" applyAlignment="1">
      <alignment wrapText="1"/>
    </xf>
    <xf numFmtId="0" fontId="2" fillId="2" borderId="4" xfId="0" applyFont="1" applyFill="1" applyBorder="1" applyAlignment="1">
      <alignment wrapText="1"/>
    </xf>
    <xf numFmtId="0" fontId="1" fillId="0" borderId="3" xfId="0" applyFont="1" applyBorder="1" applyAlignment="1">
      <alignment vertical="center" wrapText="1"/>
    </xf>
    <xf numFmtId="0" fontId="1" fillId="0" borderId="4" xfId="0" applyFont="1" applyBorder="1" applyAlignment="1">
      <alignment vertical="center" wrapText="1"/>
    </xf>
    <xf numFmtId="3" fontId="1" fillId="0" borderId="4" xfId="0" applyNumberFormat="1" applyFont="1" applyBorder="1" applyAlignment="1">
      <alignment horizontal="center" vertical="center" wrapText="1"/>
    </xf>
    <xf numFmtId="0" fontId="1" fillId="0" borderId="4" xfId="0" applyFont="1" applyBorder="1" applyAlignment="1">
      <alignment wrapText="1"/>
    </xf>
    <xf numFmtId="0" fontId="1" fillId="0" borderId="4" xfId="0" applyFont="1" applyBorder="1" applyAlignment="1">
      <alignment vertical="center"/>
    </xf>
    <xf numFmtId="0" fontId="1" fillId="0" borderId="4" xfId="0" applyFont="1" applyBorder="1" applyAlignment="1">
      <alignment horizontal="left" vertical="center"/>
    </xf>
    <xf numFmtId="0" fontId="1" fillId="0" borderId="3" xfId="0" applyFont="1" applyBorder="1" applyAlignment="1">
      <alignment wrapText="1"/>
    </xf>
    <xf numFmtId="0" fontId="2" fillId="0" borderId="4" xfId="0" applyFont="1" applyBorder="1" applyAlignment="1">
      <alignment wrapText="1"/>
    </xf>
    <xf numFmtId="0" fontId="1" fillId="2" borderId="3" xfId="0" applyFont="1" applyFill="1" applyBorder="1" applyAlignment="1">
      <alignment vertical="center" wrapText="1"/>
    </xf>
    <xf numFmtId="0" fontId="3" fillId="0" borderId="3" xfId="0" applyFont="1" applyBorder="1" applyAlignment="1">
      <alignment vertical="center" wrapText="1"/>
    </xf>
    <xf numFmtId="0" fontId="1" fillId="0" borderId="4" xfId="0" applyFont="1" applyBorder="1" applyAlignment="1">
      <alignment horizontal="left" vertical="center" wrapText="1"/>
    </xf>
    <xf numFmtId="0" fontId="1" fillId="0" borderId="4" xfId="0" applyFont="1" applyBorder="1"/>
    <xf numFmtId="0" fontId="6" fillId="2" borderId="3" xfId="0" applyFont="1" applyFill="1" applyBorder="1" applyAlignment="1">
      <alignment vertical="center" wrapText="1"/>
    </xf>
    <xf numFmtId="3" fontId="1" fillId="0" borderId="4" xfId="0" applyNumberFormat="1" applyFont="1" applyBorder="1" applyAlignment="1">
      <alignment horizontal="center" vertical="center"/>
    </xf>
    <xf numFmtId="0" fontId="1" fillId="2" borderId="4" xfId="0" applyFont="1" applyFill="1" applyBorder="1"/>
    <xf numFmtId="3" fontId="1" fillId="2" borderId="4" xfId="0" applyNumberFormat="1" applyFont="1" applyFill="1" applyBorder="1" applyAlignment="1">
      <alignment horizontal="center" vertical="center"/>
    </xf>
    <xf numFmtId="0" fontId="1" fillId="0" borderId="1" xfId="0" applyFont="1" applyBorder="1" applyAlignment="1">
      <alignment vertical="center" wrapText="1"/>
    </xf>
    <xf numFmtId="0" fontId="1" fillId="0" borderId="2" xfId="0" applyFont="1" applyBorder="1" applyAlignment="1">
      <alignment vertical="center" wrapText="1"/>
    </xf>
    <xf numFmtId="0" fontId="1" fillId="0" borderId="1" xfId="0" applyFont="1" applyBorder="1" applyAlignment="1">
      <alignment wrapText="1"/>
    </xf>
    <xf numFmtId="0" fontId="9" fillId="0" borderId="0" xfId="0" applyFont="1" applyAlignment="1">
      <alignment vertical="center" wrapText="1"/>
    </xf>
    <xf numFmtId="0" fontId="8" fillId="0" borderId="0" xfId="0" applyFont="1"/>
    <xf numFmtId="0" fontId="8" fillId="0" borderId="4" xfId="0" applyFont="1" applyBorder="1"/>
    <xf numFmtId="0" fontId="1" fillId="2" borderId="0" xfId="0" applyFont="1" applyFill="1" applyAlignment="1">
      <alignment vertical="center" wrapText="1"/>
    </xf>
    <xf numFmtId="0" fontId="1" fillId="2" borderId="4" xfId="0" applyFont="1" applyFill="1" applyBorder="1" applyAlignment="1">
      <alignment horizontal="center" vertical="center" wrapText="1"/>
    </xf>
    <xf numFmtId="0" fontId="0" fillId="0" borderId="0" xfId="0" applyAlignment="1">
      <alignment horizontal="center"/>
    </xf>
    <xf numFmtId="0" fontId="1" fillId="0" borderId="0" xfId="0" applyFont="1" applyAlignment="1">
      <alignment wrapText="1"/>
    </xf>
    <xf numFmtId="0" fontId="8" fillId="0" borderId="4" xfId="0" applyFont="1" applyBorder="1" applyAlignment="1">
      <alignment vertical="center"/>
    </xf>
    <xf numFmtId="0" fontId="1" fillId="0" borderId="0" xfId="0" applyFont="1" applyAlignment="1">
      <alignment vertical="center"/>
    </xf>
    <xf numFmtId="0" fontId="1" fillId="2" borderId="0" xfId="0" applyFont="1" applyFill="1" applyAlignment="1">
      <alignment vertical="center"/>
    </xf>
    <xf numFmtId="0" fontId="8" fillId="0" borderId="0" xfId="0" applyFont="1" applyAlignment="1">
      <alignment vertical="center"/>
    </xf>
    <xf numFmtId="0" fontId="3" fillId="0" borderId="3" xfId="0" applyFont="1" applyBorder="1" applyAlignment="1">
      <alignment horizontal="left" vertical="center" wrapText="1"/>
    </xf>
    <xf numFmtId="0" fontId="1" fillId="0" borderId="3" xfId="0" applyFont="1" applyBorder="1" applyAlignment="1">
      <alignment horizontal="left" vertical="center" wrapText="1"/>
    </xf>
    <xf numFmtId="0" fontId="1" fillId="0" borderId="3" xfId="0" applyFont="1" applyBorder="1" applyAlignment="1">
      <alignment horizontal="left" wrapText="1"/>
    </xf>
    <xf numFmtId="0" fontId="3" fillId="2" borderId="3" xfId="0" applyFont="1" applyFill="1" applyBorder="1" applyAlignment="1">
      <alignment horizontal="left" vertical="center" wrapText="1"/>
    </xf>
    <xf numFmtId="0" fontId="1" fillId="2" borderId="3" xfId="0" applyFont="1" applyFill="1" applyBorder="1" applyAlignment="1">
      <alignment horizontal="left" vertical="center" wrapText="1"/>
    </xf>
    <xf numFmtId="0" fontId="10" fillId="4" borderId="3" xfId="0" applyFont="1" applyFill="1" applyBorder="1" applyAlignment="1">
      <alignment horizontal="left" vertical="center" wrapText="1"/>
    </xf>
    <xf numFmtId="0" fontId="10" fillId="5" borderId="3" xfId="0" applyFont="1" applyFill="1" applyBorder="1" applyAlignment="1">
      <alignment horizontal="left" vertical="center" wrapText="1"/>
    </xf>
    <xf numFmtId="0" fontId="10" fillId="6" borderId="3" xfId="0" applyFont="1" applyFill="1" applyBorder="1" applyAlignment="1">
      <alignment horizontal="left" vertical="center" wrapText="1"/>
    </xf>
    <xf numFmtId="0" fontId="1" fillId="0" borderId="6" xfId="0" applyFont="1" applyBorder="1" applyAlignment="1">
      <alignment horizontal="left" wrapText="1"/>
    </xf>
    <xf numFmtId="0" fontId="1" fillId="0" borderId="5" xfId="0" applyFont="1" applyBorder="1"/>
    <xf numFmtId="0" fontId="1" fillId="0" borderId="6" xfId="0" applyFont="1" applyBorder="1" applyAlignment="1">
      <alignment horizontal="left" vertical="center"/>
    </xf>
    <xf numFmtId="0" fontId="1" fillId="0" borderId="5" xfId="0" applyFont="1" applyBorder="1" applyAlignment="1">
      <alignment horizontal="left" vertical="center"/>
    </xf>
    <xf numFmtId="0" fontId="1" fillId="0" borderId="4" xfId="0" applyFont="1" applyBorder="1" applyAlignment="1">
      <alignment horizontal="left" wrapText="1"/>
    </xf>
    <xf numFmtId="0" fontId="1" fillId="0" borderId="4" xfId="0" applyFont="1" applyBorder="1" applyAlignment="1">
      <alignment horizontal="center" vertical="center"/>
    </xf>
    <xf numFmtId="3" fontId="1" fillId="0" borderId="7" xfId="0" applyNumberFormat="1" applyFont="1" applyBorder="1" applyAlignment="1">
      <alignment horizontal="center" wrapText="1"/>
    </xf>
    <xf numFmtId="3" fontId="1" fillId="0" borderId="7" xfId="0" applyNumberFormat="1" applyFont="1" applyBorder="1" applyAlignment="1">
      <alignment horizontal="center" vertical="center"/>
    </xf>
    <xf numFmtId="3" fontId="1" fillId="0" borderId="7" xfId="0" applyNumberFormat="1" applyFont="1" applyBorder="1"/>
    <xf numFmtId="3" fontId="1" fillId="0" borderId="7" xfId="0" applyNumberFormat="1" applyFont="1" applyBorder="1" applyAlignment="1">
      <alignment horizontal="center"/>
    </xf>
    <xf numFmtId="0" fontId="1" fillId="0" borderId="4" xfId="0" applyFont="1" applyBorder="1" applyAlignment="1">
      <alignment horizontal="center" wrapText="1"/>
    </xf>
    <xf numFmtId="0" fontId="13" fillId="7" borderId="3" xfId="0" applyFont="1" applyFill="1" applyBorder="1" applyAlignment="1">
      <alignment horizontal="left" vertical="center" wrapText="1"/>
    </xf>
    <xf numFmtId="0" fontId="0" fillId="0" borderId="8" xfId="0" applyBorder="1"/>
    <xf numFmtId="0" fontId="8" fillId="0" borderId="8" xfId="0" applyFont="1" applyBorder="1"/>
    <xf numFmtId="0" fontId="8" fillId="0" borderId="9" xfId="0" applyFont="1" applyBorder="1"/>
    <xf numFmtId="0" fontId="0" fillId="0" borderId="9" xfId="0" applyBorder="1"/>
    <xf numFmtId="0" fontId="4" fillId="0" borderId="9" xfId="0" applyFont="1" applyBorder="1"/>
    <xf numFmtId="0" fontId="5" fillId="0" borderId="9" xfId="0" applyFont="1" applyBorder="1"/>
    <xf numFmtId="0" fontId="5" fillId="0" borderId="10" xfId="0" applyFont="1" applyBorder="1"/>
    <xf numFmtId="0" fontId="0" fillId="0" borderId="10" xfId="0" applyBorder="1"/>
    <xf numFmtId="0" fontId="8" fillId="0" borderId="10" xfId="0" applyFont="1" applyBorder="1"/>
    <xf numFmtId="0" fontId="14" fillId="9" borderId="12" xfId="0" applyFont="1" applyFill="1" applyBorder="1"/>
    <xf numFmtId="0" fontId="2" fillId="9" borderId="12" xfId="0" applyFont="1" applyFill="1" applyBorder="1"/>
    <xf numFmtId="0" fontId="0" fillId="0" borderId="13" xfId="0" applyBorder="1"/>
    <xf numFmtId="0" fontId="0" fillId="0" borderId="14" xfId="0" applyBorder="1"/>
    <xf numFmtId="0" fontId="8" fillId="0" borderId="15" xfId="0" applyFont="1" applyBorder="1"/>
    <xf numFmtId="0" fontId="2" fillId="9" borderId="16" xfId="0" applyFont="1" applyFill="1" applyBorder="1"/>
    <xf numFmtId="0" fontId="2" fillId="9" borderId="17" xfId="0" applyFont="1" applyFill="1" applyBorder="1"/>
    <xf numFmtId="3" fontId="1" fillId="0" borderId="18" xfId="0" applyNumberFormat="1" applyFont="1" applyBorder="1" applyAlignment="1">
      <alignment horizontal="center"/>
    </xf>
    <xf numFmtId="0" fontId="15" fillId="0" borderId="0" xfId="3"/>
    <xf numFmtId="0" fontId="15" fillId="0" borderId="0" xfId="3" applyAlignment="1">
      <alignment horizontal="left"/>
    </xf>
    <xf numFmtId="0" fontId="16" fillId="10" borderId="0" xfId="3" applyFont="1" applyFill="1" applyAlignment="1">
      <alignment horizontal="left" vertical="center" wrapText="1"/>
    </xf>
    <xf numFmtId="0" fontId="17" fillId="11" borderId="0" xfId="3" applyFont="1" applyFill="1" applyAlignment="1">
      <alignment vertical="center" wrapText="1"/>
    </xf>
    <xf numFmtId="0" fontId="18" fillId="10" borderId="0" xfId="3" applyFont="1" applyFill="1" applyAlignment="1">
      <alignment horizontal="center" vertical="center"/>
    </xf>
    <xf numFmtId="0" fontId="16" fillId="10" borderId="0" xfId="3" applyFont="1" applyFill="1" applyAlignment="1">
      <alignment horizontal="left" vertical="center"/>
    </xf>
    <xf numFmtId="0" fontId="18" fillId="11" borderId="0" xfId="3" applyFont="1" applyFill="1" applyAlignment="1">
      <alignment vertical="center" wrapText="1"/>
    </xf>
    <xf numFmtId="0" fontId="19" fillId="11" borderId="0" xfId="3" applyFont="1" applyFill="1" applyAlignment="1">
      <alignment horizontal="left" vertical="center" wrapText="1"/>
    </xf>
    <xf numFmtId="0" fontId="20" fillId="10" borderId="0" xfId="3" applyFont="1" applyFill="1" applyAlignment="1">
      <alignment horizontal="center" vertical="center"/>
    </xf>
    <xf numFmtId="0" fontId="21" fillId="0" borderId="0" xfId="3" applyFont="1"/>
    <xf numFmtId="0" fontId="22" fillId="12" borderId="0" xfId="3" applyFont="1" applyFill="1" applyAlignment="1">
      <alignment horizontal="center" vertical="center" wrapText="1"/>
    </xf>
    <xf numFmtId="0" fontId="24" fillId="12" borderId="0" xfId="4" applyFont="1" applyFill="1" applyBorder="1" applyAlignment="1">
      <alignment horizontal="center" vertical="center" wrapText="1"/>
    </xf>
    <xf numFmtId="0" fontId="24" fillId="12" borderId="0" xfId="4" applyFont="1" applyFill="1" applyBorder="1" applyAlignment="1">
      <alignment horizontal="left" vertical="center" wrapText="1"/>
    </xf>
    <xf numFmtId="0" fontId="15" fillId="13" borderId="0" xfId="3" applyFill="1"/>
    <xf numFmtId="0" fontId="15" fillId="13" borderId="0" xfId="3" applyFill="1" applyAlignment="1">
      <alignment horizontal="left"/>
    </xf>
    <xf numFmtId="0" fontId="15" fillId="0" borderId="0" xfId="3" applyAlignment="1">
      <alignment wrapText="1"/>
    </xf>
    <xf numFmtId="0" fontId="26" fillId="14" borderId="0" xfId="3" applyFont="1" applyFill="1" applyAlignment="1">
      <alignment horizontal="left" vertical="top" wrapText="1"/>
    </xf>
    <xf numFmtId="0" fontId="20" fillId="15" borderId="0" xfId="3" applyFont="1" applyFill="1" applyAlignment="1">
      <alignment horizontal="left" vertical="center" wrapText="1"/>
    </xf>
    <xf numFmtId="0" fontId="26" fillId="16" borderId="0" xfId="3" applyFont="1" applyFill="1" applyAlignment="1">
      <alignment horizontal="left" vertical="top" wrapText="1"/>
    </xf>
    <xf numFmtId="0" fontId="28" fillId="12" borderId="0" xfId="3" applyFont="1" applyFill="1" applyAlignment="1">
      <alignment horizontal="center" vertical="center" wrapText="1"/>
    </xf>
    <xf numFmtId="0" fontId="26" fillId="12" borderId="0" xfId="3" applyFont="1" applyFill="1" applyAlignment="1">
      <alignment horizontal="left" vertical="top" wrapText="1"/>
    </xf>
    <xf numFmtId="0" fontId="31" fillId="16" borderId="0" xfId="3" applyFont="1" applyFill="1" applyAlignment="1">
      <alignment horizontal="center" vertical="center" wrapText="1"/>
    </xf>
    <xf numFmtId="0" fontId="32" fillId="17" borderId="0" xfId="3" applyFont="1" applyFill="1" applyAlignment="1">
      <alignment horizontal="center" vertical="center" wrapText="1"/>
    </xf>
    <xf numFmtId="0" fontId="33" fillId="18" borderId="0" xfId="3" applyFont="1" applyFill="1" applyAlignment="1">
      <alignment horizontal="center" vertical="center" wrapText="1"/>
    </xf>
    <xf numFmtId="0" fontId="34" fillId="19" borderId="0" xfId="3" applyFont="1" applyFill="1" applyAlignment="1">
      <alignment horizontal="center" vertical="center" wrapText="1"/>
    </xf>
    <xf numFmtId="0" fontId="35" fillId="20" borderId="0" xfId="3" applyFont="1" applyFill="1" applyAlignment="1">
      <alignment horizontal="center" vertical="center" wrapText="1"/>
    </xf>
    <xf numFmtId="0" fontId="36" fillId="21" borderId="0" xfId="3" applyFont="1" applyFill="1" applyAlignment="1">
      <alignment horizontal="center" vertical="center" wrapText="1"/>
    </xf>
    <xf numFmtId="0" fontId="37" fillId="22" borderId="0" xfId="3" applyFont="1" applyFill="1" applyAlignment="1">
      <alignment horizontal="center" vertical="center" wrapText="1"/>
    </xf>
    <xf numFmtId="0" fontId="38" fillId="23" borderId="0" xfId="3" applyFont="1" applyFill="1" applyAlignment="1">
      <alignment horizontal="center" vertical="center" wrapText="1"/>
    </xf>
    <xf numFmtId="0" fontId="39" fillId="24" borderId="0" xfId="3" applyFont="1" applyFill="1" applyAlignment="1">
      <alignment horizontal="center" vertical="center" wrapText="1"/>
    </xf>
    <xf numFmtId="0" fontId="40" fillId="25" borderId="0" xfId="3" applyFont="1" applyFill="1" applyAlignment="1">
      <alignment horizontal="center" vertical="center" wrapText="1"/>
    </xf>
    <xf numFmtId="0" fontId="41" fillId="12" borderId="0" xfId="3" applyFont="1" applyFill="1" applyAlignment="1">
      <alignment horizontal="center" vertical="center" wrapText="1"/>
    </xf>
    <xf numFmtId="0" fontId="25" fillId="12" borderId="0" xfId="3" applyFont="1" applyFill="1" applyAlignment="1">
      <alignment horizontal="left" vertical="center"/>
    </xf>
    <xf numFmtId="0" fontId="30" fillId="12" borderId="0" xfId="3" applyFont="1" applyFill="1" applyAlignment="1">
      <alignment horizontal="left" vertical="center" wrapText="1"/>
    </xf>
    <xf numFmtId="0" fontId="29" fillId="12" borderId="0" xfId="3" applyFont="1" applyFill="1" applyAlignment="1">
      <alignment horizontal="left" vertical="center" wrapText="1"/>
    </xf>
    <xf numFmtId="0" fontId="28" fillId="12" borderId="0" xfId="3" applyFont="1" applyFill="1" applyAlignment="1">
      <alignment horizontal="center" vertical="center" wrapText="1"/>
    </xf>
    <xf numFmtId="0" fontId="20" fillId="15" borderId="0" xfId="3" applyFont="1" applyFill="1" applyAlignment="1">
      <alignment horizontal="left" vertical="center" wrapText="1"/>
    </xf>
    <xf numFmtId="0" fontId="17" fillId="10" borderId="0" xfId="3" applyFont="1" applyFill="1" applyAlignment="1">
      <alignment horizontal="left" vertical="top" wrapText="1"/>
    </xf>
    <xf numFmtId="0" fontId="27" fillId="12" borderId="0" xfId="3" applyFont="1" applyFill="1" applyAlignment="1">
      <alignment horizontal="left" vertical="center" wrapText="1"/>
    </xf>
    <xf numFmtId="0" fontId="20" fillId="14" borderId="0" xfId="3" applyFont="1" applyFill="1" applyAlignment="1">
      <alignment horizontal="center" vertical="center" wrapText="1"/>
    </xf>
    <xf numFmtId="0" fontId="11" fillId="12" borderId="0" xfId="3" applyFont="1" applyFill="1" applyAlignment="1">
      <alignment horizontal="left" vertical="center" wrapText="1"/>
    </xf>
    <xf numFmtId="0" fontId="27" fillId="12" borderId="0" xfId="3" applyFont="1" applyFill="1" applyAlignment="1">
      <alignment horizontal="center" vertical="center" wrapText="1"/>
    </xf>
    <xf numFmtId="0" fontId="15" fillId="0" borderId="0" xfId="3" applyAlignment="1">
      <alignment horizontal="left" vertical="top" wrapText="1"/>
    </xf>
    <xf numFmtId="0" fontId="13" fillId="8" borderId="11" xfId="0" applyFont="1" applyFill="1" applyBorder="1" applyAlignment="1">
      <alignment horizontal="center" vertical="center" wrapText="1"/>
    </xf>
    <xf numFmtId="0" fontId="13" fillId="8" borderId="0" xfId="0" applyFont="1" applyFill="1" applyAlignment="1">
      <alignment horizontal="center" vertical="center" wrapText="1"/>
    </xf>
  </cellXfs>
  <cellStyles count="5">
    <cellStyle name="Гиперссылка" xfId="1" xr:uid="{00000000-0005-0000-0000-000000000000}"/>
    <cellStyle name="Гиперссылка 2" xfId="4" xr:uid="{AB98D737-C378-4A5A-AE47-2102D05A077E}"/>
    <cellStyle name="Обычный" xfId="0" builtinId="0"/>
    <cellStyle name="Обычный 2" xfId="3" xr:uid="{AE02D47F-86C3-40C0-9481-59F3F3FF6CBE}"/>
    <cellStyle name="Стиль 1" xfId="2" xr:uid="{AC268083-9AB4-4D07-B0DB-1515686E6C69}"/>
  </cellStyles>
  <dxfs count="111">
    <dxf>
      <border diagonalUp="0" diagonalDown="0">
        <left style="thin">
          <color rgb="FF0000FF"/>
        </left>
        <right style="thin">
          <color rgb="FF0000FF"/>
        </right>
        <top/>
        <bottom/>
        <vertical style="thin">
          <color rgb="FF0000FF"/>
        </vertical>
        <horizontal/>
      </border>
    </dxf>
    <dxf>
      <border diagonalUp="0" diagonalDown="0">
        <left style="thin">
          <color rgb="FF0000FF"/>
        </left>
        <right style="thin">
          <color rgb="FF0000FF"/>
        </right>
        <top/>
        <bottom/>
        <vertical style="thin">
          <color rgb="FF0000FF"/>
        </vertical>
        <horizontal/>
      </border>
    </dxf>
    <dxf>
      <border diagonalUp="0" diagonalDown="0">
        <left style="thin">
          <color rgb="FF0000FF"/>
        </left>
        <right style="thin">
          <color rgb="FF0000FF"/>
        </right>
        <top/>
        <bottom/>
        <vertical style="thin">
          <color rgb="FF0000FF"/>
        </vertical>
        <horizontal/>
      </border>
    </dxf>
    <dxf>
      <border diagonalUp="0" diagonalDown="0">
        <left style="thin">
          <color rgb="FF0000FF"/>
        </left>
        <right style="thin">
          <color rgb="FF0000FF"/>
        </right>
        <top/>
        <bottom/>
        <vertical style="thin">
          <color rgb="FF0000FF"/>
        </vertical>
        <horizontal/>
      </border>
    </dxf>
    <dxf>
      <font>
        <b val="0"/>
        <i val="0"/>
        <strike val="0"/>
        <condense val="0"/>
        <extend val="0"/>
        <outline val="0"/>
        <shadow val="0"/>
        <u val="none"/>
        <vertAlign val="baseline"/>
        <sz val="10"/>
        <color rgb="FF000000"/>
        <name val="Arial"/>
        <family val="2"/>
        <charset val="204"/>
        <scheme val="none"/>
      </font>
      <border diagonalUp="0" diagonalDown="0">
        <left style="thin">
          <color rgb="FF0000FF"/>
        </left>
        <right style="thin">
          <color rgb="FF0000FF"/>
        </right>
        <top/>
        <bottom/>
        <vertical style="thin">
          <color rgb="FF0000FF"/>
        </vertical>
        <horizontal/>
      </border>
    </dxf>
    <dxf>
      <border diagonalUp="0" diagonalDown="0">
        <left style="thin">
          <color rgb="FF0000FF"/>
        </left>
        <right style="thin">
          <color rgb="FF0000FF"/>
        </right>
        <top/>
        <bottom/>
        <vertical style="thin">
          <color rgb="FF0000FF"/>
        </vertical>
        <horizontal/>
      </border>
    </dxf>
    <dxf>
      <border diagonalUp="0" diagonalDown="0">
        <left style="thin">
          <color rgb="FF0000FF"/>
        </left>
        <right style="thin">
          <color rgb="FF0000FF"/>
        </right>
        <top/>
        <bottom/>
        <vertical style="thin">
          <color rgb="FF0000FF"/>
        </vertical>
        <horizontal/>
      </border>
    </dxf>
    <dxf>
      <font>
        <b val="0"/>
        <i val="0"/>
        <strike val="0"/>
        <condense val="0"/>
        <extend val="0"/>
        <outline val="0"/>
        <shadow val="0"/>
        <u val="none"/>
        <vertAlign val="baseline"/>
        <sz val="12"/>
        <color rgb="FF000000"/>
        <name val="Arial"/>
        <family val="2"/>
        <charset val="204"/>
        <scheme val="none"/>
      </font>
      <border diagonalUp="0" diagonalDown="0">
        <left style="thin">
          <color rgb="FF0000FF"/>
        </left>
        <right style="thin">
          <color rgb="FF0000FF"/>
        </right>
        <top/>
        <bottom/>
        <vertical style="thin">
          <color rgb="FF0000FF"/>
        </vertical>
        <horizontal/>
      </border>
    </dxf>
    <dxf>
      <font>
        <b val="0"/>
        <i val="0"/>
        <strike val="0"/>
        <condense val="0"/>
        <extend val="0"/>
        <outline val="0"/>
        <shadow val="0"/>
        <u val="none"/>
        <vertAlign val="baseline"/>
        <sz val="10"/>
        <color rgb="FF000000"/>
        <name val="Arial"/>
        <family val="2"/>
        <charset val="204"/>
        <scheme val="none"/>
      </font>
    </dxf>
    <dxf>
      <font>
        <b val="0"/>
        <i val="0"/>
        <strike val="0"/>
        <condense val="0"/>
        <extend val="0"/>
        <outline val="0"/>
        <shadow val="0"/>
        <u val="none"/>
        <vertAlign val="baseline"/>
        <sz val="10"/>
        <color theme="1"/>
        <name val="Arial"/>
        <family val="2"/>
        <charset val="204"/>
        <scheme val="none"/>
      </font>
      <numFmt numFmtId="3" formatCode="#,##0"/>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0"/>
        <color theme="1"/>
        <name val="Arial"/>
        <family val="2"/>
        <charset val="204"/>
        <scheme val="none"/>
      </font>
      <alignment horizontal="general" vertical="center" textRotation="0" wrapText="0" indent="0" justifyLastLine="0" shrinkToFit="0" readingOrder="0"/>
      <border diagonalUp="0" diagonalDown="0" outline="0">
        <left/>
        <right/>
        <top style="thin">
          <color theme="4" tint="0.39997558519241921"/>
        </top>
        <bottom/>
      </border>
    </dxf>
    <dxf>
      <font>
        <b/>
        <i/>
        <strike val="0"/>
        <condense val="0"/>
        <extend val="0"/>
        <outline val="0"/>
        <shadow val="0"/>
        <u val="none"/>
        <vertAlign val="baseline"/>
        <sz val="11"/>
        <color theme="0"/>
        <name val="Arial"/>
        <family val="2"/>
        <charset val="204"/>
        <scheme val="none"/>
      </font>
      <fill>
        <patternFill patternType="solid">
          <fgColor indexed="64"/>
          <bgColor rgb="FF002060"/>
        </patternFill>
      </fill>
      <alignment horizontal="center" vertical="center" textRotation="0" wrapText="1" indent="0" justifyLastLine="0" shrinkToFit="0" readingOrder="0"/>
    </dxf>
    <dxf>
      <font>
        <b val="0"/>
        <i val="0"/>
        <strike val="0"/>
        <condense val="0"/>
        <extend val="0"/>
        <outline val="0"/>
        <shadow val="0"/>
        <u val="none"/>
        <vertAlign val="baseline"/>
        <sz val="10"/>
        <color theme="1"/>
        <name val="Arial"/>
        <family val="2"/>
        <charset val="204"/>
        <scheme val="none"/>
      </font>
      <numFmt numFmtId="3" formatCode="#,##0"/>
      <alignment horizontal="center" vertical="center" textRotation="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0"/>
        <color theme="1"/>
        <name val="Arial"/>
        <family val="2"/>
        <charset val="204"/>
        <scheme val="none"/>
      </font>
      <alignment vertical="center" textRotation="0" indent="0" justifyLastLine="0" shrinkToFit="0" readingOrder="0"/>
      <border diagonalUp="0" diagonalDown="0" outline="0">
        <left/>
        <right/>
        <top style="thin">
          <color theme="4" tint="0.39997558519241921"/>
        </top>
        <bottom/>
      </border>
    </dxf>
    <dxf>
      <border outline="0">
        <right style="thin">
          <color theme="4" tint="0.39997558519241921"/>
        </right>
        <top style="thin">
          <color theme="4" tint="0.39997558519241921"/>
        </top>
        <bottom style="thin">
          <color theme="4" tint="0.39997558519241921"/>
        </bottom>
      </border>
    </dxf>
    <dxf>
      <alignment vertical="center" textRotation="0" indent="0" justifyLastLine="0" shrinkToFit="0" readingOrder="0"/>
    </dxf>
    <dxf>
      <font>
        <b/>
        <i/>
        <strike val="0"/>
        <condense val="0"/>
        <extend val="0"/>
        <outline val="0"/>
        <shadow val="0"/>
        <u val="none"/>
        <vertAlign val="baseline"/>
        <sz val="11"/>
        <color theme="0"/>
        <name val="Arial"/>
        <family val="2"/>
        <charset val="204"/>
        <scheme val="none"/>
      </font>
      <fill>
        <patternFill patternType="solid">
          <fgColor indexed="64"/>
          <bgColor rgb="FF002060"/>
        </patternFill>
      </fill>
      <alignment horizontal="center" vertical="center" textRotation="0" wrapText="1" indent="0" justifyLastLine="0" shrinkToFit="0" readingOrder="0"/>
    </dxf>
    <dxf>
      <font>
        <b val="0"/>
        <i val="0"/>
        <strike val="0"/>
        <condense val="0"/>
        <extend val="0"/>
        <outline val="0"/>
        <shadow val="0"/>
        <u val="none"/>
        <vertAlign val="baseline"/>
        <sz val="10"/>
        <color theme="1"/>
        <name val="Arial"/>
        <family val="2"/>
        <charset val="204"/>
        <scheme val="none"/>
      </font>
      <numFmt numFmtId="3" formatCode="#,##0"/>
      <alignment horizontal="center" vertical="center" textRotation="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0"/>
        <color theme="1"/>
        <name val="Arial"/>
        <family val="2"/>
        <charset val="204"/>
        <scheme val="none"/>
      </font>
      <alignment vertical="center" textRotation="0" indent="0" justifyLastLine="0" shrinkToFit="0" readingOrder="0"/>
      <border diagonalUp="0" diagonalDown="0" outline="0">
        <left/>
        <right/>
        <top style="thin">
          <color theme="4" tint="0.39997558519241921"/>
        </top>
        <bottom/>
      </border>
    </dxf>
    <dxf>
      <border outline="0">
        <right style="thin">
          <color theme="4" tint="0.39997558519241921"/>
        </right>
        <top style="thin">
          <color theme="4" tint="0.39997558519241921"/>
        </top>
        <bottom style="thin">
          <color theme="4" tint="0.39997558519241921"/>
        </bottom>
      </border>
    </dxf>
    <dxf>
      <alignment vertical="center" textRotation="0" indent="0" justifyLastLine="0" shrinkToFit="0" readingOrder="0"/>
    </dxf>
    <dxf>
      <font>
        <b/>
        <i/>
        <strike val="0"/>
        <condense val="0"/>
        <extend val="0"/>
        <outline val="0"/>
        <shadow val="0"/>
        <u val="none"/>
        <vertAlign val="baseline"/>
        <sz val="11"/>
        <color theme="0"/>
        <name val="Arial"/>
        <family val="2"/>
        <charset val="204"/>
        <scheme val="none"/>
      </font>
      <fill>
        <patternFill patternType="solid">
          <fgColor indexed="64"/>
          <bgColor rgb="FF002060"/>
        </patternFill>
      </fill>
      <alignment horizontal="center" vertical="center" textRotation="0" wrapText="1" indent="0" justifyLastLine="0" shrinkToFit="0" readingOrder="0"/>
    </dxf>
    <dxf>
      <font>
        <b val="0"/>
        <i val="0"/>
        <strike val="0"/>
        <condense val="0"/>
        <extend val="0"/>
        <outline val="0"/>
        <shadow val="0"/>
        <u val="none"/>
        <vertAlign val="baseline"/>
        <sz val="10"/>
        <color theme="1"/>
        <name val="Arial"/>
        <family val="2"/>
        <charset val="204"/>
        <scheme val="none"/>
      </font>
      <numFmt numFmtId="3" formatCode="#,##0"/>
      <alignment horizontal="center" vertical="center" textRotation="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0"/>
        <color theme="1"/>
        <name val="Arial"/>
        <family val="2"/>
        <charset val="204"/>
        <scheme val="none"/>
      </font>
      <alignment vertical="center" textRotation="0" indent="0" justifyLastLine="0" shrinkToFit="0" readingOrder="0"/>
      <border diagonalUp="0" diagonalDown="0" outline="0">
        <left/>
        <right/>
        <top style="thin">
          <color theme="4" tint="0.39997558519241921"/>
        </top>
        <bottom/>
      </border>
    </dxf>
    <dxf>
      <border outline="0">
        <right style="thin">
          <color theme="4" tint="0.39997558519241921"/>
        </right>
        <top style="thin">
          <color theme="4" tint="0.39997558519241921"/>
        </top>
        <bottom style="thin">
          <color theme="4" tint="0.39997558519241921"/>
        </bottom>
      </border>
    </dxf>
    <dxf>
      <alignment vertical="center" textRotation="0" indent="0" justifyLastLine="0" shrinkToFit="0" readingOrder="0"/>
    </dxf>
    <dxf>
      <font>
        <b/>
        <i/>
        <strike val="0"/>
        <condense val="0"/>
        <extend val="0"/>
        <outline val="0"/>
        <shadow val="0"/>
        <u val="none"/>
        <vertAlign val="baseline"/>
        <sz val="11"/>
        <color theme="0"/>
        <name val="Arial"/>
        <family val="2"/>
        <charset val="204"/>
        <scheme val="none"/>
      </font>
      <fill>
        <patternFill patternType="solid">
          <fgColor indexed="64"/>
          <bgColor rgb="FF002060"/>
        </patternFill>
      </fill>
      <alignment horizontal="center" vertical="center" textRotation="0" wrapText="1" indent="0" justifyLastLine="0" shrinkToFit="0" readingOrder="0"/>
    </dxf>
    <dxf>
      <font>
        <b val="0"/>
        <i val="0"/>
        <strike val="0"/>
        <condense val="0"/>
        <extend val="0"/>
        <outline val="0"/>
        <shadow val="0"/>
        <u val="none"/>
        <vertAlign val="baseline"/>
        <sz val="10"/>
        <color theme="1"/>
        <name val="Arial"/>
        <family val="2"/>
        <charset val="204"/>
        <scheme val="none"/>
      </font>
      <numFmt numFmtId="3" formatCode="#,##0"/>
      <alignment horizontal="center" vertical="center" textRotation="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0"/>
        <color theme="1"/>
        <name val="Arial"/>
        <family val="2"/>
        <charset val="204"/>
        <scheme val="none"/>
      </font>
      <alignment vertical="center" textRotation="0" indent="0" justifyLastLine="0" shrinkToFit="0" readingOrder="0"/>
      <border diagonalUp="0" diagonalDown="0" outline="0">
        <left/>
        <right/>
        <top style="thin">
          <color theme="4" tint="0.39997558519241921"/>
        </top>
        <bottom/>
      </border>
    </dxf>
    <dxf>
      <border outline="0">
        <top style="thin">
          <color theme="4" tint="0.39997558519241921"/>
        </top>
        <bottom style="thin">
          <color theme="4" tint="0.39997558519241921"/>
        </bottom>
      </border>
    </dxf>
    <dxf>
      <alignment vertical="center" textRotation="0" indent="0" justifyLastLine="0" shrinkToFit="0" readingOrder="0"/>
    </dxf>
    <dxf>
      <font>
        <b/>
        <i/>
        <strike val="0"/>
        <condense val="0"/>
        <extend val="0"/>
        <outline val="0"/>
        <shadow val="0"/>
        <u val="none"/>
        <vertAlign val="baseline"/>
        <sz val="11"/>
        <color theme="0"/>
        <name val="Arial"/>
        <family val="2"/>
        <charset val="204"/>
        <scheme val="none"/>
      </font>
      <fill>
        <patternFill patternType="solid">
          <fgColor indexed="64"/>
          <bgColor rgb="FF002060"/>
        </patternFill>
      </fill>
      <alignment horizontal="center" vertical="center" textRotation="0" wrapText="1" indent="0" justifyLastLine="0" shrinkToFit="0" readingOrder="0"/>
    </dxf>
    <dxf>
      <font>
        <b val="0"/>
        <i val="0"/>
        <strike val="0"/>
        <condense val="0"/>
        <extend val="0"/>
        <outline val="0"/>
        <shadow val="0"/>
        <u val="none"/>
        <vertAlign val="baseline"/>
        <sz val="10"/>
        <color theme="1"/>
        <name val="Arial"/>
        <family val="2"/>
        <charset val="204"/>
        <scheme val="none"/>
      </font>
      <numFmt numFmtId="3" formatCode="#,##0"/>
      <alignment horizontal="center" vertical="center" textRotation="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0"/>
        <color theme="1"/>
        <name val="Arial"/>
        <family val="2"/>
        <charset val="204"/>
        <scheme val="none"/>
      </font>
      <alignment vertical="center" textRotation="0" indent="0" justifyLastLine="0" shrinkToFit="0" readingOrder="0"/>
      <border diagonalUp="0" diagonalDown="0" outline="0">
        <left/>
        <right/>
        <top style="thin">
          <color theme="4" tint="0.39997558519241921"/>
        </top>
        <bottom/>
      </border>
    </dxf>
    <dxf>
      <border outline="0">
        <top style="thin">
          <color theme="4" tint="0.39997558519241921"/>
        </top>
        <bottom style="thin">
          <color theme="4" tint="0.39997558519241921"/>
        </bottom>
      </border>
    </dxf>
    <dxf>
      <alignment vertical="center" textRotation="0" indent="0" justifyLastLine="0" shrinkToFit="0" readingOrder="0"/>
    </dxf>
    <dxf>
      <font>
        <b/>
        <i/>
        <strike val="0"/>
        <condense val="0"/>
        <extend val="0"/>
        <outline val="0"/>
        <shadow val="0"/>
        <u val="none"/>
        <vertAlign val="baseline"/>
        <sz val="11"/>
        <color theme="0"/>
        <name val="Arial"/>
        <family val="2"/>
        <charset val="204"/>
        <scheme val="none"/>
      </font>
      <fill>
        <patternFill patternType="solid">
          <fgColor indexed="64"/>
          <bgColor rgb="FF002060"/>
        </patternFill>
      </fill>
      <alignment horizontal="center" vertical="center" textRotation="0" wrapText="1" indent="0" justifyLastLine="0" shrinkToFit="0" readingOrder="0"/>
    </dxf>
    <dxf>
      <font>
        <b val="0"/>
        <i val="0"/>
        <strike val="0"/>
        <condense val="0"/>
        <extend val="0"/>
        <outline val="0"/>
        <shadow val="0"/>
        <u val="none"/>
        <vertAlign val="baseline"/>
        <sz val="10"/>
        <color theme="1"/>
        <name val="Arial"/>
        <family val="2"/>
        <charset val="204"/>
        <scheme val="none"/>
      </font>
      <numFmt numFmtId="3" formatCode="#,##0"/>
      <alignment horizontal="center" vertical="center" textRotation="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0"/>
        <color theme="1"/>
        <name val="Arial"/>
        <family val="2"/>
        <charset val="204"/>
        <scheme val="none"/>
      </font>
      <border diagonalUp="0" diagonalDown="0" outline="0">
        <left/>
        <right/>
        <top style="thin">
          <color theme="4" tint="0.39997558519241921"/>
        </top>
        <bottom/>
      </border>
    </dxf>
    <dxf>
      <border outline="0">
        <top style="thin">
          <color theme="4" tint="0.39997558519241921"/>
        </top>
        <bottom style="thin">
          <color theme="4" tint="0.39997558519241921"/>
        </bottom>
      </border>
    </dxf>
    <dxf>
      <font>
        <b/>
        <i/>
        <strike val="0"/>
        <condense val="0"/>
        <extend val="0"/>
        <outline val="0"/>
        <shadow val="0"/>
        <u val="none"/>
        <vertAlign val="baseline"/>
        <sz val="11"/>
        <color theme="0"/>
        <name val="Arial"/>
        <family val="2"/>
        <charset val="204"/>
        <scheme val="none"/>
      </font>
      <fill>
        <patternFill patternType="solid">
          <fgColor indexed="64"/>
          <bgColor rgb="FF002060"/>
        </patternFill>
      </fill>
      <alignment horizontal="center" vertical="center" textRotation="0" wrapText="1" indent="0" justifyLastLine="0" shrinkToFit="0" readingOrder="0"/>
    </dxf>
    <dxf>
      <font>
        <b val="0"/>
        <i val="0"/>
        <strike val="0"/>
        <condense val="0"/>
        <extend val="0"/>
        <outline val="0"/>
        <shadow val="0"/>
        <u val="none"/>
        <vertAlign val="baseline"/>
        <sz val="10"/>
        <color theme="1"/>
        <name val="Arial"/>
        <family val="2"/>
        <charset val="204"/>
        <scheme val="none"/>
      </font>
      <numFmt numFmtId="3" formatCode="#,##0"/>
      <alignment horizontal="center" vertical="center" textRotation="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0"/>
        <color theme="1"/>
        <name val="Arial"/>
        <family val="2"/>
        <charset val="204"/>
        <scheme val="none"/>
      </font>
      <alignment vertical="center" textRotation="0" indent="0" justifyLastLine="0" shrinkToFit="0" readingOrder="0"/>
      <border diagonalUp="0" diagonalDown="0" outline="0">
        <left/>
        <right/>
        <top style="thin">
          <color theme="4" tint="0.39997558519241921"/>
        </top>
        <bottom/>
      </border>
    </dxf>
    <dxf>
      <border outline="0">
        <top style="thin">
          <color theme="4" tint="0.39997558519241921"/>
        </top>
        <bottom style="thin">
          <color theme="4" tint="0.39997558519241921"/>
        </bottom>
      </border>
    </dxf>
    <dxf>
      <alignment vertical="center" textRotation="0" indent="0" justifyLastLine="0" shrinkToFit="0" readingOrder="0"/>
    </dxf>
    <dxf>
      <font>
        <b/>
        <i/>
        <strike val="0"/>
        <condense val="0"/>
        <extend val="0"/>
        <outline val="0"/>
        <shadow val="0"/>
        <u val="none"/>
        <vertAlign val="baseline"/>
        <sz val="11"/>
        <color theme="0"/>
        <name val="Arial"/>
        <family val="2"/>
        <charset val="204"/>
        <scheme val="none"/>
      </font>
      <fill>
        <patternFill patternType="solid">
          <fgColor indexed="64"/>
          <bgColor rgb="FF002060"/>
        </patternFill>
      </fill>
      <alignment horizontal="center" vertical="center" textRotation="0" wrapText="1" indent="0" justifyLastLine="0" shrinkToFit="0" readingOrder="0"/>
    </dxf>
    <dxf>
      <font>
        <b val="0"/>
        <i val="0"/>
        <strike val="0"/>
        <condense val="0"/>
        <extend val="0"/>
        <outline val="0"/>
        <shadow val="0"/>
        <u val="none"/>
        <vertAlign val="baseline"/>
        <sz val="10"/>
        <color theme="1"/>
        <name val="Arial"/>
        <family val="2"/>
        <charset val="204"/>
        <scheme val="none"/>
      </font>
      <numFmt numFmtId="3" formatCode="#,##0"/>
      <alignment horizontal="center" vertical="center" textRotation="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0"/>
        <color theme="1"/>
        <name val="Arial"/>
        <family val="2"/>
        <charset val="204"/>
        <scheme val="none"/>
      </font>
      <alignment vertical="center" textRotation="0" indent="0" justifyLastLine="0" shrinkToFit="0" readingOrder="0"/>
      <border diagonalUp="0" diagonalDown="0" outline="0">
        <left/>
        <right/>
        <top style="thin">
          <color theme="4" tint="0.39997558519241921"/>
        </top>
        <bottom/>
      </border>
    </dxf>
    <dxf>
      <border outline="0">
        <top style="thin">
          <color theme="4" tint="0.39997558519241921"/>
        </top>
        <bottom style="thin">
          <color theme="4" tint="0.39997558519241921"/>
        </bottom>
      </border>
    </dxf>
    <dxf>
      <alignment vertical="center" textRotation="0" indent="0" justifyLastLine="0" shrinkToFit="0" readingOrder="0"/>
    </dxf>
    <dxf>
      <font>
        <b/>
        <i/>
        <strike val="0"/>
        <condense val="0"/>
        <extend val="0"/>
        <outline val="0"/>
        <shadow val="0"/>
        <u val="none"/>
        <vertAlign val="baseline"/>
        <sz val="11"/>
        <color theme="0"/>
        <name val="Arial"/>
        <family val="2"/>
        <charset val="204"/>
        <scheme val="none"/>
      </font>
      <fill>
        <patternFill patternType="solid">
          <fgColor indexed="64"/>
          <bgColor rgb="FF002060"/>
        </patternFill>
      </fill>
      <alignment horizontal="center" vertical="center" textRotation="0" wrapText="1" indent="0" justifyLastLine="0" shrinkToFit="0" readingOrder="0"/>
    </dxf>
    <dxf>
      <font>
        <b val="0"/>
        <i val="0"/>
        <strike val="0"/>
        <condense val="0"/>
        <extend val="0"/>
        <outline val="0"/>
        <shadow val="0"/>
        <u val="none"/>
        <vertAlign val="baseline"/>
        <sz val="10"/>
        <color theme="1"/>
        <name val="Arial"/>
        <family val="2"/>
        <charset val="204"/>
        <scheme val="none"/>
      </font>
      <numFmt numFmtId="3" formatCode="#,##0"/>
      <alignment horizontal="center" vertical="center" textRotation="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0"/>
        <color theme="1"/>
        <name val="Arial"/>
        <family val="2"/>
        <charset val="204"/>
        <scheme val="none"/>
      </font>
      <border diagonalUp="0" diagonalDown="0" outline="0">
        <left/>
        <right/>
        <top style="thin">
          <color theme="4" tint="0.39997558519241921"/>
        </top>
        <bottom/>
      </border>
    </dxf>
    <dxf>
      <border outline="0">
        <top style="thin">
          <color theme="4" tint="0.39997558519241921"/>
        </top>
        <bottom style="thin">
          <color theme="4" tint="0.39997558519241921"/>
        </bottom>
      </border>
    </dxf>
    <dxf>
      <font>
        <b/>
        <i/>
        <strike val="0"/>
        <condense val="0"/>
        <extend val="0"/>
        <outline val="0"/>
        <shadow val="0"/>
        <u val="none"/>
        <vertAlign val="baseline"/>
        <sz val="11"/>
        <color theme="0"/>
        <name val="Arial"/>
        <family val="2"/>
        <charset val="204"/>
        <scheme val="none"/>
      </font>
      <fill>
        <patternFill patternType="solid">
          <fgColor indexed="64"/>
          <bgColor rgb="FF002060"/>
        </patternFill>
      </fill>
      <alignment horizontal="center" vertical="center" textRotation="0" wrapText="1" indent="0" justifyLastLine="0" shrinkToFit="0" readingOrder="0"/>
    </dxf>
    <dxf>
      <font>
        <b val="0"/>
        <i val="0"/>
        <strike val="0"/>
        <condense val="0"/>
        <extend val="0"/>
        <outline val="0"/>
        <shadow val="0"/>
        <u val="none"/>
        <vertAlign val="baseline"/>
        <sz val="10"/>
        <color theme="1"/>
        <name val="Arial"/>
        <family val="2"/>
        <charset val="204"/>
        <scheme val="none"/>
      </font>
      <numFmt numFmtId="3" formatCode="#,##0"/>
      <alignment horizontal="center" vertical="center" textRotation="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0"/>
        <color theme="1"/>
        <name val="Arial"/>
        <family val="2"/>
        <charset val="204"/>
        <scheme val="none"/>
      </font>
      <border diagonalUp="0" diagonalDown="0" outline="0">
        <left/>
        <right/>
        <top style="thin">
          <color theme="4" tint="0.39997558519241921"/>
        </top>
        <bottom/>
      </border>
    </dxf>
    <dxf>
      <border outline="0">
        <top style="thin">
          <color theme="4" tint="0.39997558519241921"/>
        </top>
        <bottom style="thin">
          <color theme="4" tint="0.39997558519241921"/>
        </bottom>
      </border>
    </dxf>
    <dxf>
      <font>
        <b/>
        <i/>
        <strike val="0"/>
        <condense val="0"/>
        <extend val="0"/>
        <outline val="0"/>
        <shadow val="0"/>
        <u val="none"/>
        <vertAlign val="baseline"/>
        <sz val="11"/>
        <color theme="0"/>
        <name val="Arial"/>
        <family val="2"/>
        <charset val="204"/>
        <scheme val="none"/>
      </font>
      <fill>
        <patternFill patternType="solid">
          <fgColor indexed="64"/>
          <bgColor rgb="FF002060"/>
        </patternFill>
      </fill>
      <alignment horizontal="center" vertical="center" textRotation="0" wrapText="1" indent="0" justifyLastLine="0" shrinkToFit="0" readingOrder="0"/>
    </dxf>
    <dxf>
      <font>
        <b val="0"/>
        <i val="0"/>
        <strike val="0"/>
        <condense val="0"/>
        <extend val="0"/>
        <outline val="0"/>
        <shadow val="0"/>
        <u val="none"/>
        <vertAlign val="baseline"/>
        <sz val="10"/>
        <color theme="1"/>
        <name val="Arial"/>
        <family val="2"/>
        <charset val="204"/>
        <scheme val="none"/>
      </font>
      <numFmt numFmtId="3" formatCode="#,##0"/>
      <alignment horizontal="center" vertical="center" textRotation="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0"/>
        <color theme="1"/>
        <name val="Arial"/>
        <family val="2"/>
        <charset val="204"/>
        <scheme val="none"/>
      </font>
      <border diagonalUp="0" diagonalDown="0" outline="0">
        <left/>
        <right/>
        <top style="thin">
          <color theme="4" tint="0.39997558519241921"/>
        </top>
        <bottom/>
      </border>
    </dxf>
    <dxf>
      <border outline="0">
        <top style="thin">
          <color theme="4" tint="0.39997558519241921"/>
        </top>
        <bottom style="thin">
          <color theme="4" tint="0.39997558519241921"/>
        </bottom>
      </border>
    </dxf>
    <dxf>
      <font>
        <b/>
        <i/>
        <strike val="0"/>
        <condense val="0"/>
        <extend val="0"/>
        <outline val="0"/>
        <shadow val="0"/>
        <u val="none"/>
        <vertAlign val="baseline"/>
        <sz val="11"/>
        <color theme="0"/>
        <name val="Arial"/>
        <family val="2"/>
        <charset val="204"/>
        <scheme val="none"/>
      </font>
      <fill>
        <patternFill patternType="solid">
          <fgColor indexed="64"/>
          <bgColor rgb="FF002060"/>
        </patternFill>
      </fill>
      <alignment horizontal="center" vertical="center" textRotation="0" wrapText="1" indent="0" justifyLastLine="0" shrinkToFit="0" readingOrder="0"/>
    </dxf>
    <dxf>
      <font>
        <b val="0"/>
        <i val="0"/>
        <strike val="0"/>
        <condense val="0"/>
        <extend val="0"/>
        <outline val="0"/>
        <shadow val="0"/>
        <u val="none"/>
        <vertAlign val="baseline"/>
        <sz val="10"/>
        <color theme="1"/>
        <name val="Arial"/>
        <family val="2"/>
        <charset val="204"/>
        <scheme val="none"/>
      </font>
      <numFmt numFmtId="3" formatCode="#,##0"/>
      <alignment horizontal="center"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0"/>
        <color theme="1"/>
        <name val="Arial"/>
        <family val="2"/>
        <charset val="204"/>
        <scheme val="none"/>
      </font>
      <alignment horizontal="left" vertical="center"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i/>
        <strike val="0"/>
        <condense val="0"/>
        <extend val="0"/>
        <outline val="0"/>
        <shadow val="0"/>
        <u val="none"/>
        <vertAlign val="baseline"/>
        <sz val="11"/>
        <color theme="0"/>
        <name val="Arial"/>
        <family val="2"/>
        <charset val="204"/>
        <scheme val="none"/>
      </font>
      <fill>
        <patternFill patternType="solid">
          <fgColor indexed="64"/>
          <bgColor rgb="FF002060"/>
        </patternFill>
      </fill>
      <alignment horizontal="center" vertical="center" textRotation="0" wrapText="1" indent="0" justifyLastLine="0" shrinkToFit="0" readingOrder="0"/>
    </dxf>
    <dxf>
      <font>
        <b val="0"/>
        <i val="0"/>
        <strike val="0"/>
        <condense val="0"/>
        <extend val="0"/>
        <outline val="0"/>
        <shadow val="0"/>
        <u val="none"/>
        <vertAlign val="baseline"/>
        <sz val="10"/>
        <color theme="1"/>
        <name val="Arial"/>
        <family val="2"/>
        <charset val="204"/>
        <scheme val="none"/>
      </font>
      <alignment horizontal="general" vertical="center"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i/>
        <strike val="0"/>
        <condense val="0"/>
        <extend val="0"/>
        <outline val="0"/>
        <shadow val="0"/>
        <u val="none"/>
        <vertAlign val="baseline"/>
        <sz val="11"/>
        <color theme="0"/>
        <name val="Arial"/>
        <family val="2"/>
        <charset val="204"/>
        <scheme val="none"/>
      </font>
      <fill>
        <patternFill patternType="solid">
          <fgColor indexed="64"/>
          <bgColor rgb="FF002060"/>
        </patternFill>
      </fill>
      <alignment horizontal="center" vertical="center" textRotation="0" wrapText="1" indent="0" justifyLastLine="0" shrinkToFit="0" readingOrder="0"/>
    </dxf>
    <dxf>
      <font>
        <b val="0"/>
        <i val="0"/>
        <strike val="0"/>
        <condense val="0"/>
        <extend val="0"/>
        <outline val="0"/>
        <shadow val="0"/>
        <u val="none"/>
        <vertAlign val="baseline"/>
        <sz val="10"/>
        <color theme="1"/>
        <name val="Arial"/>
        <family val="2"/>
        <charset val="204"/>
        <scheme val="none"/>
      </font>
      <numFmt numFmtId="3" formatCode="#,##0"/>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0"/>
        <color theme="1"/>
        <name val="Arial"/>
        <family val="2"/>
        <charset val="204"/>
        <scheme val="none"/>
      </font>
      <alignment vertical="center" textRotation="0" indent="0" justifyLastLine="0" shrinkToFit="0" readingOrder="0"/>
      <border diagonalUp="0" diagonalDown="0" outline="0">
        <left/>
        <right/>
        <top style="thin">
          <color theme="4" tint="0.39997558519241921"/>
        </top>
        <bottom/>
      </border>
    </dxf>
    <dxf>
      <border outline="0">
        <top style="thin">
          <color theme="4" tint="0.39997558519241921"/>
        </top>
        <bottom style="thin">
          <color theme="4" tint="0.39997558519241921"/>
        </bottom>
      </border>
    </dxf>
    <dxf>
      <font>
        <b/>
        <i/>
        <strike val="0"/>
        <condense val="0"/>
        <extend val="0"/>
        <outline val="0"/>
        <shadow val="0"/>
        <u val="none"/>
        <vertAlign val="baseline"/>
        <sz val="11"/>
        <color theme="0"/>
        <name val="Arial"/>
        <family val="2"/>
        <charset val="204"/>
        <scheme val="none"/>
      </font>
      <fill>
        <patternFill patternType="solid">
          <fgColor indexed="64"/>
          <bgColor rgb="FF002060"/>
        </patternFill>
      </fill>
      <alignment horizontal="center" vertical="center" textRotation="0" wrapText="1" indent="0" justifyLastLine="0" shrinkToFit="0" readingOrder="0"/>
    </dxf>
    <dxf>
      <font>
        <b val="0"/>
        <i val="0"/>
        <strike val="0"/>
        <condense val="0"/>
        <extend val="0"/>
        <outline val="0"/>
        <shadow val="0"/>
        <u val="none"/>
        <vertAlign val="baseline"/>
        <sz val="10"/>
        <color theme="1"/>
        <name val="Arial"/>
        <family val="2"/>
        <charset val="204"/>
        <scheme val="none"/>
      </font>
      <numFmt numFmtId="3" formatCode="#,##0"/>
      <fill>
        <patternFill patternType="none">
          <fgColor indexed="64"/>
          <bgColor indexed="65"/>
        </patternFill>
      </fill>
      <alignment horizontal="center" vertical="bottom" textRotation="0" wrapText="0" indent="0" justifyLastLine="0" shrinkToFit="0" readingOrder="0"/>
      <border diagonalUp="0" diagonalDown="0">
        <left/>
        <right style="thin">
          <color indexed="64"/>
        </right>
        <top style="thin">
          <color theme="4" tint="0.39997558519241921"/>
        </top>
        <bottom/>
        <vertical/>
        <horizontal/>
      </border>
    </dxf>
    <dxf>
      <font>
        <b val="0"/>
        <i val="0"/>
        <strike val="0"/>
        <condense val="0"/>
        <extend val="0"/>
        <outline val="0"/>
        <shadow val="0"/>
        <u val="none"/>
        <vertAlign val="baseline"/>
        <sz val="10"/>
        <color theme="1"/>
        <name val="Arial"/>
        <family val="2"/>
        <charset val="204"/>
        <scheme val="none"/>
      </font>
      <fill>
        <patternFill patternType="none">
          <fgColor indexed="64"/>
          <bgColor indexed="65"/>
        </patternFill>
      </fill>
      <border diagonalUp="0" diagonalDown="0">
        <left style="thin">
          <color rgb="FF000000"/>
        </left>
        <right/>
        <top style="thin">
          <color theme="4" tint="0.39997558519241921"/>
        </top>
        <bottom/>
        <vertical/>
        <horizontal/>
      </border>
    </dxf>
    <dxf>
      <font>
        <b val="0"/>
        <i val="0"/>
        <strike val="0"/>
        <condense val="0"/>
        <extend val="0"/>
        <outline val="0"/>
        <shadow val="0"/>
        <u val="none"/>
        <vertAlign val="baseline"/>
        <sz val="10"/>
        <color theme="1"/>
        <name val="Arial"/>
        <family val="2"/>
        <charset val="204"/>
        <scheme val="none"/>
      </font>
      <numFmt numFmtId="3" formatCode="#,##0"/>
      <fill>
        <patternFill patternType="none">
          <fgColor indexed="64"/>
          <bgColor indexed="65"/>
        </patternFill>
      </fill>
      <alignment horizontal="center" vertical="bottom" textRotation="0" wrapText="0" indent="0" justifyLastLine="0" shrinkToFit="0" readingOrder="0"/>
      <border diagonalUp="0" diagonalDown="0">
        <left/>
        <right style="thin">
          <color indexed="64"/>
        </right>
        <top style="thin">
          <color theme="4" tint="0.39997558519241921"/>
        </top>
        <bottom/>
        <vertical/>
        <horizontal/>
      </border>
    </dxf>
    <dxf>
      <font>
        <b val="0"/>
        <i val="0"/>
        <strike val="0"/>
        <condense val="0"/>
        <extend val="0"/>
        <outline val="0"/>
        <shadow val="0"/>
        <u val="none"/>
        <vertAlign val="baseline"/>
        <sz val="10"/>
        <color theme="1"/>
        <name val="Arial"/>
        <family val="2"/>
        <charset val="204"/>
        <scheme val="none"/>
      </font>
      <fill>
        <patternFill patternType="none">
          <fgColor indexed="64"/>
          <bgColor indexed="65"/>
        </patternFill>
      </fill>
      <border diagonalUp="0" diagonalDown="0">
        <left style="thin">
          <color rgb="FF000000"/>
        </left>
        <right/>
        <top style="thin">
          <color theme="4" tint="0.39997558519241921"/>
        </top>
        <bottom/>
        <vertical/>
        <horizontal/>
      </border>
    </dxf>
    <dxf>
      <font>
        <b val="0"/>
        <i val="0"/>
        <strike val="0"/>
        <condense val="0"/>
        <extend val="0"/>
        <outline val="0"/>
        <shadow val="0"/>
        <u val="none"/>
        <vertAlign val="baseline"/>
        <sz val="10"/>
        <color theme="1"/>
        <name val="Arial"/>
        <family val="2"/>
        <charset val="204"/>
        <scheme val="none"/>
      </font>
      <numFmt numFmtId="3" formatCode="#,##0"/>
      <fill>
        <patternFill patternType="none">
          <fgColor indexed="64"/>
          <bgColor indexed="65"/>
        </patternFill>
      </fill>
      <alignment horizontal="center" vertical="bottom" textRotation="0" wrapText="0" indent="0" justifyLastLine="0" shrinkToFit="0" readingOrder="0"/>
      <border diagonalUp="0" diagonalDown="0">
        <left/>
        <right style="thin">
          <color indexed="64"/>
        </right>
        <top style="thin">
          <color theme="4" tint="0.39997558519241921"/>
        </top>
        <bottom/>
        <vertical/>
        <horizontal/>
      </border>
    </dxf>
    <dxf>
      <font>
        <b val="0"/>
        <i val="0"/>
        <strike val="0"/>
        <condense val="0"/>
        <extend val="0"/>
        <outline val="0"/>
        <shadow val="0"/>
        <u val="none"/>
        <vertAlign val="baseline"/>
        <sz val="10"/>
        <color theme="1"/>
        <name val="Arial"/>
        <family val="2"/>
        <charset val="204"/>
        <scheme val="none"/>
      </font>
      <fill>
        <patternFill patternType="none">
          <fgColor indexed="64"/>
          <bgColor indexed="65"/>
        </patternFill>
      </fill>
      <border diagonalUp="0" diagonalDown="0">
        <left style="thin">
          <color rgb="FF000000"/>
        </left>
        <right/>
        <top style="thin">
          <color theme="4" tint="0.39997558519241921"/>
        </top>
        <bottom/>
        <vertical/>
        <horizontal/>
      </border>
    </dxf>
    <dxf>
      <font>
        <b val="0"/>
        <i val="0"/>
        <strike val="0"/>
        <condense val="0"/>
        <extend val="0"/>
        <outline val="0"/>
        <shadow val="0"/>
        <u val="none"/>
        <vertAlign val="baseline"/>
        <sz val="10"/>
        <color theme="1"/>
        <name val="Arial"/>
        <family val="2"/>
        <charset val="204"/>
        <scheme val="none"/>
      </font>
      <numFmt numFmtId="3" formatCode="#,##0"/>
      <fill>
        <patternFill patternType="none">
          <fgColor indexed="64"/>
          <bgColor indexed="65"/>
        </patternFill>
      </fill>
      <alignment horizontal="center" vertical="bottom" textRotation="0" wrapText="0" indent="0" justifyLastLine="0" shrinkToFit="0" readingOrder="0"/>
      <border diagonalUp="0" diagonalDown="0">
        <left/>
        <right style="thin">
          <color indexed="64"/>
        </right>
        <top style="thin">
          <color theme="4" tint="0.39997558519241921"/>
        </top>
        <bottom/>
        <vertical/>
        <horizontal/>
      </border>
    </dxf>
    <dxf>
      <font>
        <b val="0"/>
        <i val="0"/>
        <strike val="0"/>
        <condense val="0"/>
        <extend val="0"/>
        <outline val="0"/>
        <shadow val="0"/>
        <u val="none"/>
        <vertAlign val="baseline"/>
        <sz val="10"/>
        <color theme="1"/>
        <name val="Arial"/>
        <family val="2"/>
        <charset val="204"/>
        <scheme val="none"/>
      </font>
      <fill>
        <patternFill patternType="none">
          <fgColor indexed="64"/>
          <bgColor indexed="65"/>
        </patternFill>
      </fill>
      <border diagonalUp="0" diagonalDown="0">
        <left style="thin">
          <color rgb="FF000000"/>
        </left>
        <right/>
        <top style="thin">
          <color theme="4" tint="0.39997558519241921"/>
        </top>
        <bottom/>
        <vertical/>
        <horizontal/>
      </border>
    </dxf>
    <dxf>
      <font>
        <b val="0"/>
        <i val="0"/>
        <strike val="0"/>
        <condense val="0"/>
        <extend val="0"/>
        <outline val="0"/>
        <shadow val="0"/>
        <u val="none"/>
        <vertAlign val="baseline"/>
        <sz val="10"/>
        <color theme="1"/>
        <name val="Arial"/>
        <family val="2"/>
        <charset val="204"/>
        <scheme val="none"/>
      </font>
      <numFmt numFmtId="3" formatCode="#,##0"/>
      <fill>
        <patternFill patternType="none">
          <fgColor indexed="64"/>
          <bgColor indexed="65"/>
        </patternFill>
      </fill>
      <alignment horizontal="center" vertical="bottom" textRotation="0" wrapText="0" indent="0" justifyLastLine="0" shrinkToFit="0" readingOrder="0"/>
      <border diagonalUp="0" diagonalDown="0">
        <left/>
        <right style="thin">
          <color indexed="64"/>
        </right>
        <top style="thin">
          <color theme="4" tint="0.39997558519241921"/>
        </top>
        <bottom/>
        <vertical/>
        <horizontal/>
      </border>
    </dxf>
    <dxf>
      <font>
        <b val="0"/>
        <i val="0"/>
        <strike val="0"/>
        <condense val="0"/>
        <extend val="0"/>
        <outline val="0"/>
        <shadow val="0"/>
        <u val="none"/>
        <vertAlign val="baseline"/>
        <sz val="10"/>
        <color theme="1"/>
        <name val="Arial"/>
        <family val="2"/>
        <charset val="204"/>
        <scheme val="none"/>
      </font>
      <fill>
        <patternFill patternType="none">
          <fgColor indexed="64"/>
          <bgColor indexed="65"/>
        </patternFill>
      </fill>
      <border diagonalUp="0" diagonalDown="0">
        <left style="thin">
          <color rgb="FF000000"/>
        </left>
        <right/>
        <top style="thin">
          <color theme="4" tint="0.39997558519241921"/>
        </top>
        <bottom/>
        <vertical/>
        <horizontal/>
      </border>
    </dxf>
    <dxf>
      <font>
        <b val="0"/>
        <i val="0"/>
        <strike val="0"/>
        <condense val="0"/>
        <extend val="0"/>
        <outline val="0"/>
        <shadow val="0"/>
        <u val="none"/>
        <vertAlign val="baseline"/>
        <sz val="10"/>
        <color theme="1"/>
        <name val="Arial"/>
        <family val="2"/>
        <charset val="204"/>
        <scheme val="none"/>
      </font>
      <numFmt numFmtId="3" formatCode="#,##0"/>
      <fill>
        <patternFill patternType="none">
          <fgColor indexed="64"/>
          <bgColor indexed="65"/>
        </patternFill>
      </fill>
      <alignment horizontal="center" vertical="bottom" textRotation="0" wrapText="0" indent="0" justifyLastLine="0" shrinkToFit="0" readingOrder="0"/>
      <border diagonalUp="0" diagonalDown="0">
        <left/>
        <right style="thin">
          <color indexed="64"/>
        </right>
        <top style="thin">
          <color theme="4" tint="0.39997558519241921"/>
        </top>
        <bottom/>
        <vertical/>
        <horizontal/>
      </border>
    </dxf>
    <dxf>
      <font>
        <b val="0"/>
        <i val="0"/>
        <strike val="0"/>
        <condense val="0"/>
        <extend val="0"/>
        <outline val="0"/>
        <shadow val="0"/>
        <u val="none"/>
        <vertAlign val="baseline"/>
        <sz val="10"/>
        <color theme="1"/>
        <name val="Arial"/>
        <family val="2"/>
        <charset val="204"/>
        <scheme val="none"/>
      </font>
      <fill>
        <patternFill patternType="none">
          <fgColor indexed="64"/>
          <bgColor indexed="65"/>
        </patternFill>
      </fill>
      <border diagonalUp="0" diagonalDown="0">
        <left style="thin">
          <color rgb="FF000000"/>
        </left>
        <right/>
        <top style="thin">
          <color theme="4" tint="0.39997558519241921"/>
        </top>
        <bottom/>
        <vertical/>
        <horizontal/>
      </border>
    </dxf>
    <dxf>
      <font>
        <b val="0"/>
        <i val="0"/>
        <strike val="0"/>
        <condense val="0"/>
        <extend val="0"/>
        <outline val="0"/>
        <shadow val="0"/>
        <u val="none"/>
        <vertAlign val="baseline"/>
        <sz val="10"/>
        <color theme="1"/>
        <name val="Arial"/>
        <family val="2"/>
        <charset val="204"/>
        <scheme val="none"/>
      </font>
      <numFmt numFmtId="3" formatCode="#,##0"/>
      <fill>
        <patternFill patternType="none">
          <fgColor indexed="64"/>
          <bgColor indexed="65"/>
        </patternFill>
      </fill>
      <alignment horizontal="center" vertical="bottom" textRotation="0" wrapText="0" indent="0" justifyLastLine="0" shrinkToFit="0" readingOrder="0"/>
      <border diagonalUp="0" diagonalDown="0">
        <left/>
        <right style="thin">
          <color indexed="64"/>
        </right>
        <top style="thin">
          <color theme="4" tint="0.39997558519241921"/>
        </top>
        <bottom/>
        <vertical/>
        <horizontal/>
      </border>
    </dxf>
    <dxf>
      <font>
        <b val="0"/>
        <i val="0"/>
        <strike val="0"/>
        <condense val="0"/>
        <extend val="0"/>
        <outline val="0"/>
        <shadow val="0"/>
        <u val="none"/>
        <vertAlign val="baseline"/>
        <sz val="10"/>
        <color theme="1"/>
        <name val="Arial"/>
        <family val="2"/>
        <charset val="204"/>
        <scheme val="none"/>
      </font>
      <fill>
        <patternFill patternType="none">
          <fgColor indexed="64"/>
          <bgColor indexed="65"/>
        </patternFill>
      </fill>
      <border diagonalUp="0" diagonalDown="0">
        <left style="thin">
          <color rgb="FF000000"/>
        </left>
        <right/>
        <top style="thin">
          <color theme="4" tint="0.39997558519241921"/>
        </top>
        <bottom/>
        <vertical/>
        <horizontal/>
      </border>
    </dxf>
    <dxf>
      <font>
        <b val="0"/>
        <i val="0"/>
        <strike val="0"/>
        <condense val="0"/>
        <extend val="0"/>
        <outline val="0"/>
        <shadow val="0"/>
        <u val="none"/>
        <vertAlign val="baseline"/>
        <sz val="10"/>
        <color theme="1"/>
        <name val="Arial"/>
        <family val="2"/>
        <charset val="204"/>
        <scheme val="none"/>
      </font>
      <numFmt numFmtId="3" formatCode="#,##0"/>
      <fill>
        <patternFill patternType="none">
          <fgColor indexed="64"/>
          <bgColor indexed="65"/>
        </patternFill>
      </fill>
      <alignment horizontal="center" vertical="bottom" textRotation="0" wrapText="0" indent="0" justifyLastLine="0" shrinkToFit="0" readingOrder="0"/>
      <border diagonalUp="0" diagonalDown="0">
        <left/>
        <right style="thin">
          <color indexed="64"/>
        </right>
        <top style="thin">
          <color theme="4" tint="0.39997558519241921"/>
        </top>
        <bottom/>
        <vertical/>
        <horizontal/>
      </border>
    </dxf>
    <dxf>
      <font>
        <b val="0"/>
        <i val="0"/>
        <strike val="0"/>
        <condense val="0"/>
        <extend val="0"/>
        <outline val="0"/>
        <shadow val="0"/>
        <u val="none"/>
        <vertAlign val="baseline"/>
        <sz val="10"/>
        <color theme="1"/>
        <name val="Arial"/>
        <family val="2"/>
        <charset val="204"/>
        <scheme val="none"/>
      </font>
      <fill>
        <patternFill patternType="none">
          <fgColor indexed="64"/>
          <bgColor indexed="65"/>
        </patternFill>
      </fill>
      <border diagonalUp="0" diagonalDown="0">
        <left style="thin">
          <color rgb="FF000000"/>
        </left>
        <right/>
        <top style="thin">
          <color theme="4" tint="0.39997558519241921"/>
        </top>
        <bottom/>
        <vertical/>
        <horizontal/>
      </border>
    </dxf>
    <dxf>
      <font>
        <b val="0"/>
        <i val="0"/>
        <strike val="0"/>
        <condense val="0"/>
        <extend val="0"/>
        <outline val="0"/>
        <shadow val="0"/>
        <u val="none"/>
        <vertAlign val="baseline"/>
        <sz val="10"/>
        <color theme="1"/>
        <name val="Arial"/>
        <family val="2"/>
        <charset val="204"/>
        <scheme val="none"/>
      </font>
      <numFmt numFmtId="3" formatCode="#,##0"/>
      <fill>
        <patternFill patternType="none">
          <fgColor indexed="64"/>
          <bgColor indexed="65"/>
        </patternFill>
      </fill>
      <alignment horizontal="center" vertical="bottom" textRotation="0" wrapText="0" indent="0" justifyLastLine="0" shrinkToFit="0" readingOrder="0"/>
      <border diagonalUp="0" diagonalDown="0">
        <left/>
        <right style="thin">
          <color indexed="64"/>
        </right>
        <top style="thin">
          <color theme="4" tint="0.39997558519241921"/>
        </top>
        <bottom/>
        <vertical/>
        <horizontal/>
      </border>
    </dxf>
    <dxf>
      <font>
        <b val="0"/>
        <i val="0"/>
        <strike val="0"/>
        <condense val="0"/>
        <extend val="0"/>
        <outline val="0"/>
        <shadow val="0"/>
        <u val="none"/>
        <vertAlign val="baseline"/>
        <sz val="10"/>
        <color theme="1"/>
        <name val="Arial"/>
        <family val="2"/>
        <charset val="204"/>
        <scheme val="none"/>
      </font>
      <fill>
        <patternFill patternType="none">
          <fgColor indexed="64"/>
          <bgColor indexed="65"/>
        </patternFill>
      </fill>
      <border diagonalUp="0" diagonalDown="0">
        <left style="thin">
          <color rgb="FF000000"/>
        </left>
        <right/>
        <top style="thin">
          <color theme="4" tint="0.39997558519241921"/>
        </top>
        <bottom/>
        <vertical/>
        <horizontal/>
      </border>
    </dxf>
    <dxf>
      <font>
        <b val="0"/>
        <i val="0"/>
        <strike val="0"/>
        <condense val="0"/>
        <extend val="0"/>
        <outline val="0"/>
        <shadow val="0"/>
        <u val="none"/>
        <vertAlign val="baseline"/>
        <sz val="10"/>
        <color theme="1"/>
        <name val="Arial"/>
        <family val="2"/>
        <charset val="204"/>
        <scheme val="none"/>
      </font>
      <numFmt numFmtId="3" formatCode="#,##0"/>
      <fill>
        <patternFill patternType="none">
          <fgColor indexed="64"/>
          <bgColor indexed="65"/>
        </patternFill>
      </fill>
      <alignment horizontal="center" vertical="bottom" textRotation="0" wrapText="0" indent="0" justifyLastLine="0" shrinkToFit="0" readingOrder="0"/>
      <border diagonalUp="0" diagonalDown="0">
        <left/>
        <right style="thin">
          <color indexed="64"/>
        </right>
        <top style="thin">
          <color theme="4" tint="0.39997558519241921"/>
        </top>
        <bottom/>
        <vertical/>
        <horizontal/>
      </border>
    </dxf>
    <dxf>
      <font>
        <b val="0"/>
        <i val="0"/>
        <strike val="0"/>
        <condense val="0"/>
        <extend val="0"/>
        <outline val="0"/>
        <shadow val="0"/>
        <u val="none"/>
        <vertAlign val="baseline"/>
        <sz val="10"/>
        <color theme="1"/>
        <name val="Arial"/>
        <family val="2"/>
        <charset val="204"/>
        <scheme val="none"/>
      </font>
      <fill>
        <patternFill patternType="none">
          <fgColor indexed="64"/>
          <bgColor indexed="65"/>
        </patternFill>
      </fill>
      <border diagonalUp="0" diagonalDown="0">
        <left style="thin">
          <color rgb="FF000000"/>
        </left>
        <right/>
        <top style="thin">
          <color theme="4" tint="0.39997558519241921"/>
        </top>
        <bottom/>
        <vertical/>
        <horizontal/>
      </border>
    </dxf>
    <dxf>
      <font>
        <b val="0"/>
        <i val="0"/>
        <strike val="0"/>
        <condense val="0"/>
        <extend val="0"/>
        <outline val="0"/>
        <shadow val="0"/>
        <u val="none"/>
        <vertAlign val="baseline"/>
        <sz val="10"/>
        <color theme="1"/>
        <name val="Arial"/>
        <family val="2"/>
        <charset val="204"/>
        <scheme val="none"/>
      </font>
      <numFmt numFmtId="3" formatCode="#,##0"/>
      <fill>
        <patternFill patternType="none">
          <fgColor indexed="64"/>
          <bgColor indexed="65"/>
        </patternFill>
      </fill>
      <alignment horizontal="center" vertical="bottom" textRotation="0" wrapText="0" indent="0" justifyLastLine="0" shrinkToFit="0" readingOrder="0"/>
      <border diagonalUp="0" diagonalDown="0">
        <left/>
        <right style="thin">
          <color indexed="64"/>
        </right>
        <top style="thin">
          <color theme="4" tint="0.39997558519241921"/>
        </top>
        <bottom/>
        <vertical/>
        <horizontal/>
      </border>
    </dxf>
    <dxf>
      <font>
        <b val="0"/>
        <i val="0"/>
        <strike val="0"/>
        <condense val="0"/>
        <extend val="0"/>
        <outline val="0"/>
        <shadow val="0"/>
        <u val="none"/>
        <vertAlign val="baseline"/>
        <sz val="10"/>
        <color theme="1"/>
        <name val="Arial"/>
        <family val="2"/>
        <charset val="204"/>
        <scheme val="none"/>
      </font>
      <fill>
        <patternFill patternType="none">
          <fgColor indexed="64"/>
          <bgColor indexed="65"/>
        </patternFill>
      </fill>
      <border diagonalUp="0" diagonalDown="0">
        <left style="thin">
          <color rgb="FF000000"/>
        </left>
        <right/>
        <top style="thin">
          <color theme="4" tint="0.39997558519241921"/>
        </top>
        <bottom/>
        <vertical/>
        <horizontal/>
      </border>
    </dxf>
    <dxf>
      <font>
        <b val="0"/>
        <i val="0"/>
        <strike val="0"/>
        <condense val="0"/>
        <extend val="0"/>
        <outline val="0"/>
        <shadow val="0"/>
        <u val="none"/>
        <vertAlign val="baseline"/>
        <sz val="10"/>
        <color theme="1"/>
        <name val="Arial"/>
        <family val="2"/>
        <charset val="204"/>
        <scheme val="none"/>
      </font>
      <numFmt numFmtId="3" formatCode="#,##0"/>
      <fill>
        <patternFill patternType="none">
          <fgColor indexed="64"/>
          <bgColor indexed="65"/>
        </patternFill>
      </fill>
      <alignment horizontal="center" vertical="bottom" textRotation="0" wrapText="0" indent="0" justifyLastLine="0" shrinkToFit="0" readingOrder="0"/>
      <border diagonalUp="0" diagonalDown="0">
        <left/>
        <right style="thin">
          <color indexed="64"/>
        </right>
        <top style="thin">
          <color theme="4" tint="0.39997558519241921"/>
        </top>
        <bottom/>
        <vertical/>
        <horizontal/>
      </border>
    </dxf>
    <dxf>
      <font>
        <b val="0"/>
        <i val="0"/>
        <strike val="0"/>
        <condense val="0"/>
        <extend val="0"/>
        <outline val="0"/>
        <shadow val="0"/>
        <u val="none"/>
        <vertAlign val="baseline"/>
        <sz val="10"/>
        <color theme="1"/>
        <name val="Arial"/>
        <family val="2"/>
        <charset val="204"/>
        <scheme val="none"/>
      </font>
      <fill>
        <patternFill patternType="none">
          <fgColor indexed="64"/>
          <bgColor indexed="65"/>
        </patternFill>
      </fill>
      <border diagonalUp="0" diagonalDown="0">
        <left style="thin">
          <color rgb="FF000000"/>
        </left>
        <right/>
        <top style="thin">
          <color theme="4" tint="0.39997558519241921"/>
        </top>
        <bottom/>
        <vertical/>
        <horizontal/>
      </border>
    </dxf>
    <dxf>
      <font>
        <b val="0"/>
        <i val="0"/>
        <strike val="0"/>
        <condense val="0"/>
        <extend val="0"/>
        <outline val="0"/>
        <shadow val="0"/>
        <u val="none"/>
        <vertAlign val="baseline"/>
        <sz val="10"/>
        <color theme="1"/>
        <name val="Arial"/>
        <family val="2"/>
        <charset val="204"/>
        <scheme val="none"/>
      </font>
      <numFmt numFmtId="3" formatCode="#,##0"/>
      <fill>
        <patternFill patternType="none">
          <fgColor indexed="64"/>
          <bgColor indexed="65"/>
        </patternFill>
      </fill>
      <alignment horizontal="center" vertical="bottom" textRotation="0" wrapText="0" indent="0" justifyLastLine="0" shrinkToFit="0" readingOrder="0"/>
      <border diagonalUp="0" diagonalDown="0">
        <left/>
        <right style="thin">
          <color indexed="64"/>
        </right>
        <top style="thin">
          <color theme="4" tint="0.39997558519241921"/>
        </top>
        <bottom/>
        <vertical/>
        <horizontal/>
      </border>
    </dxf>
    <dxf>
      <font>
        <b val="0"/>
        <i val="0"/>
        <strike val="0"/>
        <condense val="0"/>
        <extend val="0"/>
        <outline val="0"/>
        <shadow val="0"/>
        <u val="none"/>
        <vertAlign val="baseline"/>
        <sz val="10"/>
        <color theme="1"/>
        <name val="Arial"/>
        <family val="2"/>
        <charset val="204"/>
        <scheme val="none"/>
      </font>
      <fill>
        <patternFill patternType="none">
          <fgColor indexed="64"/>
          <bgColor indexed="65"/>
        </patternFill>
      </fill>
      <border diagonalUp="0" diagonalDown="0">
        <left style="thin">
          <color rgb="FF000000"/>
        </left>
        <right/>
        <top style="thin">
          <color theme="4" tint="0.39997558519241921"/>
        </top>
        <bottom/>
        <vertical/>
        <horizontal/>
      </border>
    </dxf>
    <dxf>
      <font>
        <b val="0"/>
        <i val="0"/>
        <strike val="0"/>
        <condense val="0"/>
        <extend val="0"/>
        <outline val="0"/>
        <shadow val="0"/>
        <u val="none"/>
        <vertAlign val="baseline"/>
        <sz val="10"/>
        <color theme="1"/>
        <name val="Arial"/>
        <family val="2"/>
        <charset val="204"/>
        <scheme val="none"/>
      </font>
      <numFmt numFmtId="3" formatCode="#,##0"/>
      <fill>
        <patternFill patternType="none">
          <fgColor indexed="64"/>
          <bgColor indexed="65"/>
        </patternFill>
      </fill>
      <alignment horizontal="center" vertical="bottom" textRotation="0" wrapText="0" indent="0" justifyLastLine="0" shrinkToFit="0" readingOrder="0"/>
      <border diagonalUp="0" diagonalDown="0">
        <left/>
        <right style="thin">
          <color indexed="64"/>
        </right>
        <top style="thin">
          <color theme="4" tint="0.39997558519241921"/>
        </top>
        <bottom/>
        <vertical/>
        <horizontal/>
      </border>
    </dxf>
    <dxf>
      <font>
        <b val="0"/>
        <i val="0"/>
        <strike val="0"/>
        <condense val="0"/>
        <extend val="0"/>
        <outline val="0"/>
        <shadow val="0"/>
        <u val="none"/>
        <vertAlign val="baseline"/>
        <sz val="10"/>
        <color theme="1"/>
        <name val="Arial"/>
        <family val="2"/>
        <charset val="204"/>
        <scheme val="none"/>
      </font>
      <fill>
        <patternFill patternType="none">
          <fgColor indexed="64"/>
          <bgColor indexed="65"/>
        </patternFill>
      </fill>
      <border diagonalUp="0" diagonalDown="0">
        <left style="thin">
          <color rgb="FF000000"/>
        </left>
        <right/>
        <top style="thin">
          <color theme="4" tint="0.39997558519241921"/>
        </top>
        <bottom/>
        <vertical/>
        <horizontal/>
      </border>
    </dxf>
    <dxf>
      <font>
        <b val="0"/>
        <i val="0"/>
        <strike val="0"/>
        <condense val="0"/>
        <extend val="0"/>
        <outline val="0"/>
        <shadow val="0"/>
        <u val="none"/>
        <vertAlign val="baseline"/>
        <sz val="10"/>
        <color theme="1"/>
        <name val="Arial"/>
        <family val="2"/>
        <charset val="204"/>
        <scheme val="none"/>
      </font>
      <numFmt numFmtId="3" formatCode="#,##0"/>
      <fill>
        <patternFill patternType="none">
          <fgColor indexed="64"/>
          <bgColor indexed="65"/>
        </patternFill>
      </fill>
      <alignment horizontal="center" vertical="bottom" textRotation="0" wrapText="0" indent="0" justifyLastLine="0" shrinkToFit="0" readingOrder="0"/>
      <border diagonalUp="0" diagonalDown="0">
        <left/>
        <right style="thin">
          <color indexed="64"/>
        </right>
        <top style="thin">
          <color theme="4" tint="0.39997558519241921"/>
        </top>
        <bottom/>
        <vertical/>
        <horizontal/>
      </border>
    </dxf>
    <dxf>
      <font>
        <b val="0"/>
        <i val="0"/>
        <strike val="0"/>
        <condense val="0"/>
        <extend val="0"/>
        <outline val="0"/>
        <shadow val="0"/>
        <u val="none"/>
        <vertAlign val="baseline"/>
        <sz val="10"/>
        <color theme="1"/>
        <name val="Arial"/>
        <family val="2"/>
        <charset val="204"/>
        <scheme val="none"/>
      </font>
      <fill>
        <patternFill patternType="none">
          <fgColor indexed="64"/>
          <bgColor indexed="65"/>
        </patternFill>
      </fill>
      <border diagonalUp="0" diagonalDown="0">
        <left style="thin">
          <color rgb="FF000000"/>
        </left>
        <right/>
        <top style="thin">
          <color theme="4" tint="0.39997558519241921"/>
        </top>
        <bottom/>
        <vertical/>
        <horizontal/>
      </border>
    </dxf>
    <dxf>
      <font>
        <b val="0"/>
        <i val="0"/>
        <strike val="0"/>
        <condense val="0"/>
        <extend val="0"/>
        <outline val="0"/>
        <shadow val="0"/>
        <u val="none"/>
        <vertAlign val="baseline"/>
        <sz val="10"/>
        <color theme="0"/>
        <name val="Arial"/>
        <family val="2"/>
        <charset val="204"/>
        <scheme val="none"/>
      </font>
      <fill>
        <gradientFill type="path" left="0.5" right="0.5" top="0.5" bottom="0.5">
          <stop position="0">
            <color rgb="FF002060"/>
          </stop>
          <stop position="1">
            <color rgb="FFFF6D01"/>
          </stop>
        </gradientFill>
      </fill>
      <alignment horizontal="left" vertical="center" textRotation="0" wrapText="1" indent="0" justifyLastLine="0" shrinkToFit="0" readingOrder="0"/>
      <border diagonalUp="0" diagonalDown="0">
        <left style="thin">
          <color theme="4" tint="0.39997558519241921"/>
        </left>
        <right/>
        <top style="thin">
          <color theme="4" tint="0.39997558519241921"/>
        </top>
        <bottom/>
        <vertical/>
        <horizontal/>
      </border>
    </dxf>
    <dxf>
      <border outline="0">
        <bottom style="thin">
          <color indexed="64"/>
        </bottom>
      </border>
    </dxf>
    <dxf>
      <font>
        <b val="0"/>
        <i val="0"/>
        <strike val="0"/>
        <condense val="0"/>
        <extend val="0"/>
        <outline val="0"/>
        <shadow val="0"/>
        <u val="none"/>
        <vertAlign val="baseline"/>
        <sz val="10"/>
        <color theme="1"/>
        <name val="Arial"/>
        <family val="2"/>
        <charset val="204"/>
        <scheme val="none"/>
      </font>
      <fill>
        <patternFill patternType="none">
          <fgColor indexed="64"/>
          <bgColor indexed="65"/>
        </patternFill>
      </fill>
      <alignment horizontal="center" vertical="bottom" textRotation="0" wrapText="0" indent="0" justifyLastLine="0" shrinkToFit="0" readingOrder="0"/>
    </dxf>
    <dxf>
      <font>
        <b/>
        <i/>
        <strike val="0"/>
        <condense val="0"/>
        <extend val="0"/>
        <outline val="0"/>
        <shadow val="0"/>
        <u val="none"/>
        <vertAlign val="baseline"/>
        <sz val="11"/>
        <color theme="0"/>
        <name val="Arial"/>
        <family val="2"/>
        <charset val="204"/>
        <scheme val="none"/>
      </font>
      <fill>
        <patternFill patternType="solid">
          <fgColor indexed="64"/>
          <bgColor rgb="FF002060"/>
        </patternFill>
      </fill>
      <alignment horizontal="center" vertical="center" textRotation="0" wrapText="1" indent="0" justifyLastLine="0" shrinkToFit="0" readingOrder="0"/>
    </dxf>
    <dxf>
      <font>
        <strike val="0"/>
        <outline val="0"/>
        <shadow val="0"/>
        <u val="none"/>
        <vertAlign val="baseline"/>
        <sz val="12"/>
        <name val="Arial"/>
        <family val="2"/>
        <charset val="204"/>
        <scheme val="none"/>
      </font>
    </dxf>
    <dxf>
      <font>
        <strike val="0"/>
        <outline val="0"/>
        <shadow val="0"/>
        <u val="none"/>
        <vertAlign val="baseline"/>
        <sz val="12"/>
        <name val="Arial"/>
        <family val="2"/>
        <charset val="204"/>
        <scheme val="none"/>
      </font>
    </dxf>
    <dxf>
      <font>
        <strike val="0"/>
        <outline val="0"/>
        <shadow val="0"/>
        <vertAlign val="baseline"/>
        <sz val="14"/>
        <color theme="0"/>
        <charset val="204"/>
      </font>
    </dxf>
  </dxfs>
  <tableStyles count="0" defaultTableStyle="TableStyleMedium2" defaultPivotStyle="PivotStyleLight16"/>
  <colors>
    <mruColors>
      <color rgb="FFFF6D01"/>
      <color rgb="FFA9C4E8"/>
      <color rgb="FF002060"/>
      <color rgb="FF0000FF"/>
      <color rgb="FFFFB266"/>
      <color rgb="FFD56D55"/>
      <color rgb="FFF1CB5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onnections" Target="connections.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alcChain" Target="calcChain.xml"/><Relationship Id="rId5" Type="http://schemas.openxmlformats.org/officeDocument/2006/relationships/worksheet" Target="worksheets/sheet5.xml"/><Relationship Id="rId10"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xdr:col>
      <xdr:colOff>41867</xdr:colOff>
      <xdr:row>4</xdr:row>
      <xdr:rowOff>20934</xdr:rowOff>
    </xdr:from>
    <xdr:to>
      <xdr:col>2</xdr:col>
      <xdr:colOff>10467</xdr:colOff>
      <xdr:row>6</xdr:row>
      <xdr:rowOff>0</xdr:rowOff>
    </xdr:to>
    <xdr:sp macro="[0]!OpenSearch" textlink="">
      <xdr:nvSpPr>
        <xdr:cNvPr id="6" name="Прямоугольник: скругленные углы 5">
          <a:extLst>
            <a:ext uri="{FF2B5EF4-FFF2-40B4-BE49-F238E27FC236}">
              <a16:creationId xmlns:a16="http://schemas.microsoft.com/office/drawing/2014/main" id="{3E7500A8-40CE-74D7-A1C4-B1C92CD85154}"/>
            </a:ext>
          </a:extLst>
        </xdr:cNvPr>
        <xdr:cNvSpPr/>
      </xdr:nvSpPr>
      <xdr:spPr>
        <a:xfrm>
          <a:off x="1863131" y="1402582"/>
          <a:ext cx="1601457" cy="314011"/>
        </a:xfrm>
        <a:prstGeom prst="roundRect">
          <a:avLst/>
        </a:prstGeom>
        <a:solidFill>
          <a:srgbClr val="00206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ru-RU"/>
            <a:t>🔍 Найти в семантике</a:t>
          </a:r>
          <a:endParaRPr lang="ru-RU"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7</xdr:col>
      <xdr:colOff>0</xdr:colOff>
      <xdr:row>0</xdr:row>
      <xdr:rowOff>10703</xdr:rowOff>
    </xdr:from>
    <xdr:to>
      <xdr:col>7</xdr:col>
      <xdr:colOff>1184069</xdr:colOff>
      <xdr:row>1</xdr:row>
      <xdr:rowOff>0</xdr:rowOff>
    </xdr:to>
    <xdr:sp macro="[0]!OpenSearchMinus" textlink="">
      <xdr:nvSpPr>
        <xdr:cNvPr id="4" name="Прямоугольник: скругленные углы 3">
          <a:extLst>
            <a:ext uri="{FF2B5EF4-FFF2-40B4-BE49-F238E27FC236}">
              <a16:creationId xmlns:a16="http://schemas.microsoft.com/office/drawing/2014/main" id="{C6B1AD55-A2FE-4BEA-A63F-860A762815A4}"/>
            </a:ext>
          </a:extLst>
        </xdr:cNvPr>
        <xdr:cNvSpPr/>
      </xdr:nvSpPr>
      <xdr:spPr>
        <a:xfrm>
          <a:off x="6742416" y="10703"/>
          <a:ext cx="1184069" cy="310364"/>
        </a:xfrm>
        <a:prstGeom prst="roundRect">
          <a:avLst/>
        </a:prstGeom>
        <a:solidFill>
          <a:srgbClr val="00206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ru-RU" sz="1100"/>
            <a:t>🔍 </a:t>
          </a:r>
          <a:r>
            <a:rPr lang="ru-RU" sz="1100" b="1"/>
            <a:t>Найти</a:t>
          </a:r>
          <a:r>
            <a:rPr lang="ru-RU" sz="1100"/>
            <a:t> </a:t>
          </a:r>
        </a:p>
      </xdr:txBody>
    </xdr:sp>
    <xdr:clientData/>
  </xdr:twoCellAnchor>
</xdr:wsDr>
</file>

<file path=xl/persons/person.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63E2C59-5D69-4F23-995D-AF9226B75A6E}" name="FilterByQuery" displayName="FilterByQuery" ref="B4:B27" headerRowDxfId="110" dataDxfId="109">
  <autoFilter ref="B4:B27" xr:uid="{00000000-000C-0000-FFFF-FFFF00000000}"/>
  <tableColumns count="1">
    <tableColumn id="1" xr3:uid="{00000000-0010-0000-0000-000001000000}" name="Запрос" dataDxfId="108"/>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C9A3E80-8404-4F2C-A69A-38557F199AF4}" name="Таблица1" displayName="Таблица1" ref="A1:AE16" totalsRowShown="0" headerRowDxfId="107" dataDxfId="106" tableBorderDxfId="105">
  <tableColumns count="31">
    <tableColumn id="1" xr3:uid="{A96D1C2F-D6F3-4E5D-9766-AEF6773EB727}" name="Наименование группы (каждая группа в отдельном столбце)" dataDxfId="104"/>
    <tableColumn id="2" xr3:uid="{E1B64DFE-AFA9-41E7-933F-84F0A63E071D}" name="запрос (прописать каждый запрос в отдельной строке)" dataDxfId="103"/>
    <tableColumn id="3" xr3:uid="{1EB17B70-F01A-41EE-8350-BB95DAF15180}" name="частотность" dataDxfId="102"/>
    <tableColumn id="4" xr3:uid="{226967A8-F781-44E4-8308-2131723FF4FA}" name="запрос" dataDxfId="101"/>
    <tableColumn id="5" xr3:uid="{D1A59761-CE07-40CE-ABE3-589DB6D7B3D2}" name="частотность " dataDxfId="100"/>
    <tableColumn id="6" xr3:uid="{95328237-FDB6-4382-AAB6-5A4F8C9192B2}" name="запрос                                                                             " dataDxfId="99"/>
    <tableColumn id="7" xr3:uid="{013BB56C-C1DF-4EB7-AF35-8A3D220B129D}" name="частотность                                                                         " dataDxfId="98"/>
    <tableColumn id="8" xr3:uid="{55B03F2F-ACD0-469B-9778-CC2DDD852F0C}" name="запрос  " dataDxfId="97"/>
    <tableColumn id="9" xr3:uid="{B8D95AA0-3343-4AA8-A37C-DEAF0BC89D9C}" name="частотность  " dataDxfId="96"/>
    <tableColumn id="10" xr3:uid="{68BBB233-2DEC-499A-A39F-EBA20CFDBA9A}" name="запрос                                                                      " dataDxfId="95"/>
    <tableColumn id="11" xr3:uid="{6D50E852-CBBA-4279-A26F-E4AEC5725E7D}" name="частотность                                                                                        " dataDxfId="94"/>
    <tableColumn id="12" xr3:uid="{CC1CA5C6-C71E-42CF-823F-FDC135CBF43D}" name="запрос                                                                               " dataDxfId="93"/>
    <tableColumn id="13" xr3:uid="{781BAAC9-ADA0-4A7F-ADE5-AC510BFA1BA8}" name="частотность                                                           " dataDxfId="92"/>
    <tableColumn id="14" xr3:uid="{4F014E35-034B-4CF9-A36A-CC44B619AE52}" name="запрос       " dataDxfId="91"/>
    <tableColumn id="15" xr3:uid="{B530EFC5-2AD5-4B9C-A98D-C8B8BFB6C827}" name="частотность       " dataDxfId="90"/>
    <tableColumn id="16" xr3:uid="{0A03EF80-F5A2-43A2-84F2-89271414094A}" name="запрос                                                                       " dataDxfId="89"/>
    <tableColumn id="17" xr3:uid="{43532D90-02BB-4268-B2BD-6F97A1604918}" name="частотность                                       " dataDxfId="88"/>
    <tableColumn id="18" xr3:uid="{785AC112-3B29-4787-BA30-78D1547E46DB}" name="запрос                                                          " dataDxfId="87"/>
    <tableColumn id="19" xr3:uid="{FDFD08DB-CE8D-4A35-903E-18147880F4E6}" name="частотность                                        " dataDxfId="86"/>
    <tableColumn id="20" xr3:uid="{40067A87-0590-4542-965E-15DECB18197B}" name="запрос         " dataDxfId="85"/>
    <tableColumn id="21" xr3:uid="{DAD4EBAC-A80A-41C5-B635-B5EA1ED9A0C2}" name="частотность            " dataDxfId="84"/>
    <tableColumn id="22" xr3:uid="{B4177B22-F28E-4D1A-B08C-EBBF156C5E23}" name="запрос             " dataDxfId="83"/>
    <tableColumn id="23" xr3:uid="{67994407-FEF4-416B-983D-07F97A7D1130}" name="частотность                     " dataDxfId="82"/>
    <tableColumn id="24" xr3:uid="{4B91956B-50AC-45FC-8BC5-FD8F5D22754C}" name="запрос                 " dataDxfId="81"/>
    <tableColumn id="25" xr3:uid="{F6DFE0F4-EFDC-4145-820A-F24F611217E9}" name="частотность                    " dataDxfId="80"/>
    <tableColumn id="26" xr3:uid="{0A7203A2-3D92-460C-9166-8897BA4FF5FC}" name="запрос                                        " dataDxfId="79"/>
    <tableColumn id="27" xr3:uid="{C74B04A9-64ED-4601-9CCD-380AED43FD93}" name="частотность                                                                    " dataDxfId="78"/>
    <tableColumn id="28" xr3:uid="{CC3B86F1-3215-4250-A828-6715E3FA5151}" name="запрос           " dataDxfId="77"/>
    <tableColumn id="29" xr3:uid="{84BAE662-9F81-431C-9021-9E91B4E5199F}" name="частотность           " dataDxfId="76"/>
    <tableColumn id="30" xr3:uid="{F247EDA1-559D-4B9C-BB52-A1E54BBB9CA2}" name="запрос          " dataDxfId="75"/>
    <tableColumn id="31" xr3:uid="{2E9A3B1A-ED81-4CC1-BA05-9386FF9D7344}" name="частотность         " dataDxfId="74"/>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F046395-840C-4411-96EA-84E659C47F14}" name="Таблица10" displayName="Таблица10" ref="C1:D61" totalsRowShown="0" headerRowDxfId="73" tableBorderDxfId="72">
  <autoFilter ref="C1:D61" xr:uid="{BF046395-840C-4411-96EA-84E659C47F14}"/>
  <sortState xmlns:xlrd2="http://schemas.microsoft.com/office/spreadsheetml/2017/richdata2" ref="C2:D61">
    <sortCondition descending="1" ref="D1:D61"/>
  </sortState>
  <tableColumns count="2">
    <tableColumn id="1" xr3:uid="{FEC17164-87A2-4F43-BCF2-1CEA401A3D90}" name="запрос (прописать каждый запрос в отдельной строке)" dataDxfId="71"/>
    <tableColumn id="2" xr3:uid="{318434AF-E863-4B7F-96D1-E15A5ECDAE98}" name="частотность" dataDxfId="70"/>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3ABCCD0E-2CEC-4539-881E-69DC08C105C5}" name="Таблица11" displayName="Таблица11" ref="F1:G61" totalsRowShown="0" headerRowDxfId="69" tableBorderDxfId="68">
  <autoFilter ref="F1:G61" xr:uid="{3ABCCD0E-2CEC-4539-881E-69DC08C105C5}"/>
  <sortState xmlns:xlrd2="http://schemas.microsoft.com/office/spreadsheetml/2017/richdata2" ref="F2:G61">
    <sortCondition descending="1" ref="G1:G61"/>
  </sortState>
  <tableColumns count="2">
    <tableColumn id="1" xr3:uid="{66285262-CC99-4037-80D2-8E1F222E0C6D}" name="запрос" dataDxfId="67"/>
    <tableColumn id="2" xr3:uid="{97132C06-B8A8-4A83-AB8A-EAE929147383}" name="частотность "/>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865BE9E3-DC2C-44D8-A36D-B1DF9F2C7E76}" name="Таблица12" displayName="Таблица12" ref="I1:J61" totalsRowShown="0" headerRowDxfId="66" tableBorderDxfId="65">
  <autoFilter ref="I1:J61" xr:uid="{865BE9E3-DC2C-44D8-A36D-B1DF9F2C7E76}"/>
  <sortState xmlns:xlrd2="http://schemas.microsoft.com/office/spreadsheetml/2017/richdata2" ref="I2:J61">
    <sortCondition descending="1" ref="J1:J61"/>
  </sortState>
  <tableColumns count="2">
    <tableColumn id="1" xr3:uid="{F1436CE0-5A26-4433-A72E-689DC6958C1A}" name="запрос  " dataDxfId="64"/>
    <tableColumn id="2" xr3:uid="{133DB6E6-E990-4222-BE80-726576EF3D7A}" name="частотность  " dataDxfId="63"/>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D9108C38-2925-4FED-B0D3-B98E8413187A}" name="Таблица13" displayName="Таблица13" ref="L1:M61" totalsRowShown="0" headerRowDxfId="62" tableBorderDxfId="61">
  <autoFilter ref="L1:M61" xr:uid="{D9108C38-2925-4FED-B0D3-B98E8413187A}"/>
  <sortState xmlns:xlrd2="http://schemas.microsoft.com/office/spreadsheetml/2017/richdata2" ref="L2:M61">
    <sortCondition descending="1" ref="M1:M61"/>
  </sortState>
  <tableColumns count="2">
    <tableColumn id="1" xr3:uid="{CF0BF019-CF68-47DF-AF6C-37B1E0462381}" name="запрос   " dataDxfId="60"/>
    <tableColumn id="2" xr3:uid="{90519F37-F34B-4EF1-8930-9D5C96FB0776}" name="частотность   " dataDxfId="59"/>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C647FFF6-6AED-43E4-88CF-EE9C3E4161DB}" name="Таблица14" displayName="Таблица14" ref="O1:P61" totalsRowShown="0" headerRowDxfId="58" tableBorderDxfId="57">
  <autoFilter ref="O1:P61" xr:uid="{C647FFF6-6AED-43E4-88CF-EE9C3E4161DB}"/>
  <sortState xmlns:xlrd2="http://schemas.microsoft.com/office/spreadsheetml/2017/richdata2" ref="O2:P61">
    <sortCondition descending="1" ref="P1:P61"/>
  </sortState>
  <tableColumns count="2">
    <tableColumn id="1" xr3:uid="{5D1C2030-A279-4316-9F8E-178ED6A7023F}" name="запрос       " dataDxfId="56"/>
    <tableColumn id="2" xr3:uid="{4EAE8FAE-79AC-4461-AFAA-D065DA6129EA}" name="частотность       " dataDxfId="55"/>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F3165609-EE10-4F00-8AF1-DB3A10B0A13E}" name="Таблица15" displayName="Таблица15" ref="R1:S61" totalsRowShown="0" headerRowDxfId="54" tableBorderDxfId="53">
  <autoFilter ref="R1:S61" xr:uid="{F3165609-EE10-4F00-8AF1-DB3A10B0A13E}"/>
  <sortState xmlns:xlrd2="http://schemas.microsoft.com/office/spreadsheetml/2017/richdata2" ref="R2:S61">
    <sortCondition descending="1" ref="S1:S61"/>
  </sortState>
  <tableColumns count="2">
    <tableColumn id="1" xr3:uid="{9ACB5281-DBCD-4346-A233-5E378D597312}" name="запрос          " dataDxfId="52"/>
    <tableColumn id="2" xr3:uid="{902272DA-D5AA-4B6D-8214-C3494FF370C0}" name="частотность             " dataDxfId="51"/>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49D32A33-968A-47C6-87E3-5254AE7C7BA5}" name="Таблица16" displayName="Таблица16" ref="U1:V61" totalsRowShown="0" headerRowDxfId="50" dataDxfId="49" tableBorderDxfId="48">
  <autoFilter ref="U1:V61" xr:uid="{49D32A33-968A-47C6-87E3-5254AE7C7BA5}"/>
  <sortState xmlns:xlrd2="http://schemas.microsoft.com/office/spreadsheetml/2017/richdata2" ref="U2:V61">
    <sortCondition descending="1" ref="V1:V61"/>
  </sortState>
  <tableColumns count="2">
    <tableColumn id="1" xr3:uid="{A40055CB-B3A7-469A-A61C-17C75D154739}" name="запрос         " dataDxfId="47"/>
    <tableColumn id="2" xr3:uid="{6A931E78-C36A-4FD3-9A09-C2815D850B57}" name="частотность            " dataDxfId="46"/>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EEF41B07-E4D9-4372-AE36-0CF88C92FC01}" name="Таблица17" displayName="Таблица17" ref="X1:Y61" totalsRowShown="0" headerRowDxfId="45" dataDxfId="44" tableBorderDxfId="43">
  <autoFilter ref="X1:Y61" xr:uid="{EEF41B07-E4D9-4372-AE36-0CF88C92FC01}"/>
  <sortState xmlns:xlrd2="http://schemas.microsoft.com/office/spreadsheetml/2017/richdata2" ref="X2:Y61">
    <sortCondition descending="1" ref="Y1:Y61"/>
  </sortState>
  <tableColumns count="2">
    <tableColumn id="1" xr3:uid="{7C1B9F0F-F074-4A84-957F-9D9D0BF99A08}" name="запрос                             " dataDxfId="42"/>
    <tableColumn id="2" xr3:uid="{BD8C5C81-62F8-4D9A-B468-9B9ADC305DAD}" name="частотность                                   " dataDxfId="41"/>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43239435-348D-4D51-A00C-A7EE025064E5}" name="Таблица18" displayName="Таблица18" ref="AA1:AB61" totalsRowShown="0" headerRowDxfId="40" tableBorderDxfId="39">
  <autoFilter ref="AA1:AB61" xr:uid="{43239435-348D-4D51-A00C-A7EE025064E5}"/>
  <sortState xmlns:xlrd2="http://schemas.microsoft.com/office/spreadsheetml/2017/richdata2" ref="AA2:AB61">
    <sortCondition descending="1" ref="AB1:AB61"/>
  </sortState>
  <tableColumns count="2">
    <tableColumn id="1" xr3:uid="{E4DF8816-FC38-45A7-B709-97981664BA83}" name="запрос                                        " dataDxfId="38"/>
    <tableColumn id="2" xr3:uid="{F4C0AC53-E3F8-42E2-8A46-BB6D8DDA918D}" name="частотность                                                                    " dataDxfId="37"/>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7F3E13B2-ADBE-41CA-8F09-3FACC7DF847D}" name="Таблица19" displayName="Таблица19" ref="AD1:AE61" totalsRowShown="0" headerRowDxfId="36" dataDxfId="35" tableBorderDxfId="34">
  <autoFilter ref="AD1:AE61" xr:uid="{7F3E13B2-ADBE-41CA-8F09-3FACC7DF847D}"/>
  <sortState xmlns:xlrd2="http://schemas.microsoft.com/office/spreadsheetml/2017/richdata2" ref="AD2:AE61">
    <sortCondition descending="1" ref="AE1:AE61"/>
  </sortState>
  <tableColumns count="2">
    <tableColumn id="1" xr3:uid="{29BBCE63-8A77-4ED1-B45C-1D8B295AE720}" name="запрос                                                                                            " dataDxfId="33"/>
    <tableColumn id="2" xr3:uid="{738412F1-746B-4F19-907E-2120519D5010}" name="частотность                                                                       " dataDxfId="32"/>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2294B7D5-9122-42F6-A161-14291945C7D0}" name="Таблица20" displayName="Таблица20" ref="AG1:AH61" totalsRowShown="0" headerRowDxfId="31" dataDxfId="30" tableBorderDxfId="29">
  <autoFilter ref="AG1:AH61" xr:uid="{2294B7D5-9122-42F6-A161-14291945C7D0}"/>
  <sortState xmlns:xlrd2="http://schemas.microsoft.com/office/spreadsheetml/2017/richdata2" ref="AG2:AH61">
    <sortCondition descending="1" ref="AH1:AH61"/>
  </sortState>
  <tableColumns count="2">
    <tableColumn id="1" xr3:uid="{6FA8DBC4-D9BB-4AFB-BBC0-F697ABA188D8}" name="запрос                                                                                                                                                                                                        " dataDxfId="28"/>
    <tableColumn id="2" xr3:uid="{4B725011-9341-4799-B68D-10B39366C697}" name="частотность                                                                                                            " dataDxfId="27"/>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84BDF05C-C63F-4E3B-B76E-672A59198738}" name="Таблица21" displayName="Таблица21" ref="AJ1:AK61" totalsRowShown="0" headerRowDxfId="26" dataDxfId="25" tableBorderDxfId="24">
  <autoFilter ref="AJ1:AK61" xr:uid="{84BDF05C-C63F-4E3B-B76E-672A59198738}"/>
  <sortState xmlns:xlrd2="http://schemas.microsoft.com/office/spreadsheetml/2017/richdata2" ref="AJ2:AK61">
    <sortCondition descending="1" ref="AK1:AK61"/>
  </sortState>
  <tableColumns count="2">
    <tableColumn id="1" xr3:uid="{9E5F2A7A-897F-4561-9579-EF378D0077D3}" name="запрос                                                                     " dataDxfId="23"/>
    <tableColumn id="2" xr3:uid="{2DF1728F-45A2-4B09-971D-9F5A2E371C77}" name="частотность                                                                        " dataDxfId="22"/>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A0988412-2EB1-41E9-8109-83CDA3DD20CE}" name="Таблица22" displayName="Таблица22" ref="AM1:AN61" totalsRowShown="0" headerRowDxfId="21" dataDxfId="20" tableBorderDxfId="19">
  <autoFilter ref="AM1:AN61" xr:uid="{A0988412-2EB1-41E9-8109-83CDA3DD20CE}"/>
  <sortState xmlns:xlrd2="http://schemas.microsoft.com/office/spreadsheetml/2017/richdata2" ref="AM2:AN61">
    <sortCondition descending="1" ref="AN1:AN61"/>
  </sortState>
  <tableColumns count="2">
    <tableColumn id="1" xr3:uid="{690DD2FB-85E8-4D1A-A970-20BF25E0A81A}" name="запрос                                                                     " dataDxfId="18"/>
    <tableColumn id="2" xr3:uid="{8E88ABB7-C5E4-49D4-AD5D-E586008E289C}" name="частотность                                                                        " dataDxfId="17"/>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CAF22DFE-49A8-4DB4-B289-0E362A8C8AE0}" name="Таблица23" displayName="Таблица23" ref="AP1:AQ61" totalsRowShown="0" headerRowDxfId="16" dataDxfId="15" tableBorderDxfId="14">
  <autoFilter ref="AP1:AQ61" xr:uid="{CAF22DFE-49A8-4DB4-B289-0E362A8C8AE0}"/>
  <sortState xmlns:xlrd2="http://schemas.microsoft.com/office/spreadsheetml/2017/richdata2" ref="AP2:AQ61">
    <sortCondition descending="1" ref="AQ1:AQ61"/>
  </sortState>
  <tableColumns count="2">
    <tableColumn id="1" xr3:uid="{B808CC43-018D-4053-A4BC-AF86B955D82B}" name="запрос                                                                     " dataDxfId="13"/>
    <tableColumn id="2" xr3:uid="{53EDB778-E385-4C5A-A370-0A59AF431E02}" name="частотность                                                                        " dataDxfId="12"/>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BC3337A-BFFD-4CF7-8EA7-519BF8436556}" name="Таблица25" displayName="Таблица25" ref="AS1:AT61" totalsRowShown="0" headerRowDxfId="11">
  <autoFilter ref="AS1:AT61" xr:uid="{0BC3337A-BFFD-4CF7-8EA7-519BF8436556}"/>
  <sortState xmlns:xlrd2="http://schemas.microsoft.com/office/spreadsheetml/2017/richdata2" ref="AS2:AT61">
    <sortCondition descending="1" ref="AT1:AT61"/>
  </sortState>
  <tableColumns count="2">
    <tableColumn id="1" xr3:uid="{8D48B4BE-3028-4189-8D64-2B793ED665E8}" name="запрос                                                                     " dataDxfId="10"/>
    <tableColumn id="2" xr3:uid="{9982B853-4CA1-4A55-8EBB-43B4874179B5}" name="частотность                                                                        " dataDxfId="9"/>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E786DDD-2D51-4EBA-B9F4-DADF83F2CDE9}" name="Таблица4" displayName="Таблица4" ref="A2:H25" totalsRowShown="0" headerRowDxfId="8">
  <autoFilter ref="A2:H25" xr:uid="{2E786DDD-2D51-4EBA-B9F4-DADF83F2CDE9}"/>
  <tableColumns count="8">
    <tableColumn id="1" xr3:uid="{80561E94-DEE9-49AC-91AF-969C9919B8A3}" name="Столбец1" dataDxfId="7"/>
    <tableColumn id="2" xr3:uid="{8DD5B604-6BAF-48ED-91A3-1F492DE3FB71}" name="Столбец2" dataDxfId="6"/>
    <tableColumn id="3" xr3:uid="{54D2229A-C4BD-41DF-B9ED-DA31BCABC72D}" name="Столбец3" dataDxfId="5"/>
    <tableColumn id="4" xr3:uid="{C0F1DAFA-7A93-4B47-9FAC-8455F21B1795}" name="Столбец4" dataDxfId="4"/>
    <tableColumn id="5" xr3:uid="{B2821557-210F-4936-ADB5-822106B5CBE8}" name="Столбец5" dataDxfId="3"/>
    <tableColumn id="6" xr3:uid="{DD368CCA-6ABB-4E25-B214-6967C4B65BF1}" name="Столбец6" dataDxfId="2"/>
    <tableColumn id="7" xr3:uid="{72E5FDBB-D30B-40F9-8C7A-ECB928743214}" name="Столбец7" dataDxfId="1"/>
    <tableColumn id="8" xr3:uid="{D3A45C48-0148-4444-91B0-C05C3ED5312D}" name="Столбец8" dataDxfId="0"/>
  </tableColumns>
  <tableStyleInfo name="TableStyleMedium2" showFirstColumn="0" showLastColumn="0"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285F4"/>
      </a:accent1>
      <a:accent2>
        <a:srgbClr val="EA4335"/>
      </a:accent2>
      <a:accent3>
        <a:srgbClr val="FBBC04"/>
      </a:accent3>
      <a:accent4>
        <a:srgbClr val="34A853"/>
      </a:accent4>
      <a:accent5>
        <a:srgbClr val="FF6D01"/>
      </a:accent5>
      <a:accent6>
        <a:srgbClr val="46BDC6"/>
      </a:accent6>
      <a:hlink>
        <a:srgbClr val="1155CC"/>
      </a:hlink>
      <a:folHlink>
        <a:srgbClr val="1155CC"/>
      </a:folHlink>
    </a:clrScheme>
    <a:fontScheme name="Office">
      <a:majorFont>
        <a:latin typeface="Calibri"/>
        <a:ea typeface="Calibri"/>
        <a:cs typeface="Calibri"/>
      </a:majorFont>
      <a:minorFont>
        <a:latin typeface="Calibri"/>
        <a:ea typeface="Calibri"/>
        <a:cs typeface="Calibri"/>
      </a:minorFont>
    </a:fontScheme>
    <a:fmtScheme name="Sheets">
      <a:fillStyleLst>
        <a:solidFill>
          <a:schemeClr val="phClr"/>
        </a:solidFill>
        <a:solidFill>
          <a:schemeClr val="dk1"/>
        </a:solidFill>
        <a:solidFill>
          <a:schemeClr val="accent1"/>
        </a:solidFill>
      </a:fillStyleLst>
      <a:lnStyleLst>
        <a:ln w="6350">
          <a:solidFill>
            <a:schemeClr val="phClr"/>
          </a:solidFill>
          <a:prstDash val="solid"/>
        </a:ln>
        <a:ln w="12700">
          <a:solidFill>
            <a:schemeClr val="phClr"/>
          </a:solidFill>
          <a:prstDash val="solid"/>
        </a:ln>
        <a:ln w="19050">
          <a:solidFill>
            <a:schemeClr val="phClr"/>
          </a:solidFill>
          <a:prstDash val="solid"/>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a:gsLst>
            <a:gs pos="0">
              <a:schemeClr val="phClr">
                <a:tint val="93000"/>
                <a:shade val="98000"/>
                <a:lumMod val="102000"/>
                <a:satMod val="150000"/>
              </a:schemeClr>
            </a:gs>
            <a:gs pos="50000">
              <a:schemeClr val="phClr">
                <a:tint val="98000"/>
                <a:shade val="90000"/>
                <a:lumMod val="103000"/>
                <a:satMod val="130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8" Type="http://schemas.openxmlformats.org/officeDocument/2006/relationships/hyperlink" Target="https://rusroza.ru/10/" TargetMode="External"/><Relationship Id="rId13" Type="http://schemas.openxmlformats.org/officeDocument/2006/relationships/hyperlink" Target="https://chkh.&#1084;&#1086;&#1081;&#1089;&#1072;&#1076;&#1086;&#1074;&#1086;&#1076;.&#1088;&#1092;/catalog/sazhentsy-roz" TargetMode="External"/><Relationship Id="rId18" Type="http://schemas.openxmlformats.org/officeDocument/2006/relationships/hyperlink" Target="https://rusroza.ru/10/" TargetMode="External"/><Relationship Id="rId3" Type="http://schemas.openxmlformats.org/officeDocument/2006/relationships/hyperlink" Target="https://chkh.&#1084;&#1086;&#1081;&#1089;&#1072;&#1076;&#1086;&#1074;&#1086;&#1076;.&#1088;&#1092;/catalog/sazhentsy-roz" TargetMode="External"/><Relationship Id="rId21" Type="http://schemas.openxmlformats.org/officeDocument/2006/relationships/hyperlink" Target="https://agrosemfond.ru/catalog/rozy_1/pletistye/" TargetMode="External"/><Relationship Id="rId7" Type="http://schemas.openxmlformats.org/officeDocument/2006/relationships/hyperlink" Target="https://plantsad.ru/catalog/rozy-pletistye/" TargetMode="External"/><Relationship Id="rId12" Type="http://schemas.openxmlformats.org/officeDocument/2006/relationships/hyperlink" Target="https://www.uzhniy.ru/katalog/pletistye/" TargetMode="External"/><Relationship Id="rId17" Type="http://schemas.openxmlformats.org/officeDocument/2006/relationships/hyperlink" Target="https://plantsad.ru/catalog/rozy-pletistye/" TargetMode="External"/><Relationship Id="rId2" Type="http://schemas.openxmlformats.org/officeDocument/2006/relationships/hyperlink" Target="https://www.uzhniy.ru/katalog/pletistye/" TargetMode="External"/><Relationship Id="rId16" Type="http://schemas.openxmlformats.org/officeDocument/2006/relationships/hyperlink" Target="https://gardenmart24.com/dekorativnye-rasteniya/rozy/rozy-pletistye/" TargetMode="External"/><Relationship Id="rId20" Type="http://schemas.openxmlformats.org/officeDocument/2006/relationships/hyperlink" Target="https://kupirozi.ru/" TargetMode="External"/><Relationship Id="rId1" Type="http://schemas.openxmlformats.org/officeDocument/2006/relationships/hyperlink" Target="https://tamararozi.ru/" TargetMode="External"/><Relationship Id="rId6" Type="http://schemas.openxmlformats.org/officeDocument/2006/relationships/hyperlink" Target="https://gardenmart24.com/dekorativnye-rasteniya/rozy/rozy-pletistye/" TargetMode="External"/><Relationship Id="rId11" Type="http://schemas.openxmlformats.org/officeDocument/2006/relationships/hyperlink" Target="https://agrosemfond.ru/catalog/rozy_1/pletistye/" TargetMode="External"/><Relationship Id="rId5" Type="http://schemas.openxmlformats.org/officeDocument/2006/relationships/hyperlink" Target="https://www.podvorje.ru/retail/catalogue/roses/pletistye-rozy.html" TargetMode="External"/><Relationship Id="rId15" Type="http://schemas.openxmlformats.org/officeDocument/2006/relationships/hyperlink" Target="https://www.podvorje.ru/retail/catalogue/roses/pletistye-rozy.html" TargetMode="External"/><Relationship Id="rId10" Type="http://schemas.openxmlformats.org/officeDocument/2006/relationships/hyperlink" Target="https://kupirozi.ru/" TargetMode="External"/><Relationship Id="rId19" Type="http://schemas.openxmlformats.org/officeDocument/2006/relationships/hyperlink" Target="https://www.garshinka.ru/catalog/category/pletistye-rozy" TargetMode="External"/><Relationship Id="rId4" Type="http://schemas.openxmlformats.org/officeDocument/2006/relationships/hyperlink" Target="https://&#1075;&#1088;&#1072;&#1085;&#1076;&#1080;&#1092;&#1083;&#1086;&#1088;&#1072;.&#1088;&#1092;/%D0%BF%D0%BB%D0%B5%D1%82%D0%B8%D1%81%D1%82%D1%8B%D0%B5-%D0%BA%D0%BB%D0%B0%D0%B9%D0%BC%D0%B1%D0%B5%D1%80%D1%8B/" TargetMode="External"/><Relationship Id="rId9" Type="http://schemas.openxmlformats.org/officeDocument/2006/relationships/hyperlink" Target="https://www.garshinka.ru/catalog/category/pletistye-rozy" TargetMode="External"/><Relationship Id="rId14" Type="http://schemas.openxmlformats.org/officeDocument/2006/relationships/hyperlink" Target="https://&#1075;&#1088;&#1072;&#1085;&#1076;&#1080;&#1092;&#1083;&#1086;&#1088;&#1072;.&#1088;&#1092;/%D0%BF%D0%BB%D0%B5%D1%82%D0%B8%D1%81%D1%82%D1%8B%D0%B5-%D0%BA%D0%BB%D0%B0%D0%B9%D0%BC%D0%B1%D0%B5%D1%80%D1%8B/" TargetMode="Externa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8" Type="http://schemas.openxmlformats.org/officeDocument/2006/relationships/table" Target="../tables/table9.xml"/><Relationship Id="rId13" Type="http://schemas.openxmlformats.org/officeDocument/2006/relationships/table" Target="../tables/table14.xml"/><Relationship Id="rId3" Type="http://schemas.openxmlformats.org/officeDocument/2006/relationships/table" Target="../tables/table4.xml"/><Relationship Id="rId7" Type="http://schemas.openxmlformats.org/officeDocument/2006/relationships/table" Target="../tables/table8.xml"/><Relationship Id="rId12" Type="http://schemas.openxmlformats.org/officeDocument/2006/relationships/table" Target="../tables/table13.xml"/><Relationship Id="rId2" Type="http://schemas.openxmlformats.org/officeDocument/2006/relationships/table" Target="../tables/table3.xml"/><Relationship Id="rId16" Type="http://schemas.openxmlformats.org/officeDocument/2006/relationships/table" Target="../tables/table17.xml"/><Relationship Id="rId1" Type="http://schemas.openxmlformats.org/officeDocument/2006/relationships/drawing" Target="../drawings/drawing1.xml"/><Relationship Id="rId6" Type="http://schemas.openxmlformats.org/officeDocument/2006/relationships/table" Target="../tables/table7.xml"/><Relationship Id="rId11" Type="http://schemas.openxmlformats.org/officeDocument/2006/relationships/table" Target="../tables/table12.xml"/><Relationship Id="rId5" Type="http://schemas.openxmlformats.org/officeDocument/2006/relationships/table" Target="../tables/table6.xml"/><Relationship Id="rId15" Type="http://schemas.openxmlformats.org/officeDocument/2006/relationships/table" Target="../tables/table16.xml"/><Relationship Id="rId10" Type="http://schemas.openxmlformats.org/officeDocument/2006/relationships/table" Target="../tables/table11.xml"/><Relationship Id="rId4" Type="http://schemas.openxmlformats.org/officeDocument/2006/relationships/table" Target="../tables/table5.xml"/><Relationship Id="rId9" Type="http://schemas.openxmlformats.org/officeDocument/2006/relationships/table" Target="../tables/table10.xml"/><Relationship Id="rId14" Type="http://schemas.openxmlformats.org/officeDocument/2006/relationships/table" Target="../tables/table15.xml"/></Relationships>
</file>

<file path=xl/worksheets/_rels/sheet5.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157249-2460-41F4-AA63-2820578C36B0}">
  <dimension ref="A1:P28"/>
  <sheetViews>
    <sheetView showGridLines="0" tabSelected="1" zoomScale="70" zoomScaleNormal="70" workbookViewId="0">
      <pane xSplit="4" ySplit="5" topLeftCell="K9" activePane="bottomRight" state="frozen"/>
      <selection pane="topRight" activeCell="E1" sqref="E1"/>
      <selection pane="bottomLeft" activeCell="A6" sqref="A6"/>
      <selection pane="bottomRight" activeCell="F17" sqref="F17"/>
    </sheetView>
  </sheetViews>
  <sheetFormatPr defaultRowHeight="14.25"/>
  <cols>
    <col min="1" max="1" width="6.85546875" style="90" customWidth="1"/>
    <col min="2" max="2" width="15.5703125" style="90" customWidth="1"/>
    <col min="3" max="3" width="35.42578125" style="90" customWidth="1"/>
    <col min="4" max="4" width="66.28515625" style="90" customWidth="1"/>
    <col min="5" max="5" width="77.7109375" style="91" customWidth="1"/>
    <col min="6" max="6" width="78" style="90" customWidth="1"/>
    <col min="7" max="15" width="77.85546875" style="90" customWidth="1"/>
    <col min="16" max="16" width="48" style="90" hidden="1" customWidth="1"/>
    <col min="17" max="16384" width="9.140625" style="90"/>
  </cols>
  <sheetData>
    <row r="1" spans="1:16" ht="33.950000000000003" customHeight="1">
      <c r="A1" s="122" t="s">
        <v>898</v>
      </c>
      <c r="B1" s="122"/>
      <c r="C1" s="122"/>
      <c r="D1" s="122"/>
      <c r="E1" s="122"/>
      <c r="F1" s="122"/>
      <c r="G1" s="122"/>
      <c r="H1" s="122"/>
      <c r="I1" s="122"/>
      <c r="J1" s="122"/>
      <c r="K1" s="122"/>
      <c r="L1" s="122"/>
      <c r="M1" s="122"/>
      <c r="N1" s="122"/>
      <c r="O1" s="122"/>
      <c r="P1" s="122"/>
    </row>
    <row r="2" spans="1:16" ht="9" customHeight="1">
      <c r="A2" s="103"/>
      <c r="B2" s="103"/>
      <c r="C2" s="103"/>
      <c r="D2" s="103"/>
      <c r="E2" s="104"/>
      <c r="F2" s="103"/>
      <c r="G2" s="103"/>
      <c r="H2" s="103"/>
      <c r="I2" s="103"/>
      <c r="J2" s="103"/>
      <c r="K2" s="103"/>
      <c r="L2" s="103"/>
      <c r="M2" s="103"/>
      <c r="N2" s="103"/>
      <c r="O2" s="103"/>
      <c r="P2" s="103"/>
    </row>
    <row r="3" spans="1:16" ht="14.1" customHeight="1"/>
    <row r="4" spans="1:16" s="99" customFormat="1" ht="66.75" customHeight="1">
      <c r="A4" s="100" t="s">
        <v>897</v>
      </c>
      <c r="B4" s="100" t="s">
        <v>896</v>
      </c>
      <c r="C4" s="100" t="s">
        <v>895</v>
      </c>
      <c r="D4" s="100" t="s">
        <v>894</v>
      </c>
      <c r="E4" s="102" t="str">
        <f>HYPERLINK("https://www.uzhniy.ru/katalog/roza/","1. Садовый центр «Южный» — сайт ↗")</f>
        <v>1. Садовый центр «Южный» — сайт ↗</v>
      </c>
      <c r="F4" s="101" t="str">
        <f>HYPERLINK("https://xn--80aefbvrodbz.xn--p1ai/catalog/sazhentsy-roz/pletistye-rozy","2. Мой Садовод — сайт ↗")</f>
        <v>2. Мой Садовод — сайт ↗</v>
      </c>
      <c r="G4" s="101" t="str">
        <f>HYPERLINK("https://xn--80aahfusllmg5b.xn--p1ai/","3. Питомник «Грандифлора» — сайт ↗")</f>
        <v>3. Питомник «Грандифлора» — сайт ↗</v>
      </c>
      <c r="H4" s="101" t="str">
        <f>HYPERLINK("https://www.podvorje.ru/retail/catalogue/roses/pletistye-rozy.html","4. «Подворье» — сайт ↗")</f>
        <v>4. «Подворье» — сайт ↗</v>
      </c>
      <c r="I4" s="101" t="str">
        <f>HYPERLINK("https://gardenmart24.ru/dekorativnye-rasteniya/rozy/rozy-pletistye/","5. «Гарденмарт» — сайт ↗")</f>
        <v>5. «Гарденмарт» — сайт ↗</v>
      </c>
      <c r="J4" s="101" t="str">
        <f>HYPERLINK("https://plantsad.ru/catalog/rozy-pletistye/","6. «Плантсад» — сайт ↗")</f>
        <v>6. «Плантсад» — сайт ↗</v>
      </c>
      <c r="K4" s="101" t="str">
        <f>HYPERLINK("https://rusroza.ru/10/","7. Питомник «Русроза» — сайт ↗")</f>
        <v>7. Питомник «Русроза» — сайт ↗</v>
      </c>
      <c r="L4" s="101" t="str">
        <f>HYPERLINK("https://www.garshinka.ru/catalog/category/pletistye-rozy","8. «Гаршинка» — сайт ↗")</f>
        <v>8. «Гаршинка» — сайт ↗</v>
      </c>
      <c r="M4" s="101" t="str">
        <f>HYPERLINK("https://kupirozi.ru/catalogue/4","9. Питомник «Розы Нью-Джерси» — сайт ↗")</f>
        <v>9. Питомник «Розы Нью-Джерси» — сайт ↗</v>
      </c>
      <c r="N4" s="101" t="str">
        <f>HYPERLINK("https://agrosemfond.ru/catalog/rozy_1/pletistye/","10. «АгроСемФонд» — сайт ↗")</f>
        <v>10. «АгроСемФонд» — сайт ↗</v>
      </c>
      <c r="O4" s="101" t="str">
        <f>HYPERLINK("https://tamararozi.ru/catalog/pletistaya-roza.html","Питомник «Тамара Розы» — сайт ↗")</f>
        <v>Питомник «Тамара Розы» — сайт ↗</v>
      </c>
      <c r="P4" s="100" t="s">
        <v>893</v>
      </c>
    </row>
    <row r="5" spans="1:16" ht="72" customHeight="1">
      <c r="A5" s="98" t="s">
        <v>701</v>
      </c>
      <c r="B5" s="97" t="s">
        <v>648</v>
      </c>
      <c r="C5" s="97" t="s">
        <v>700</v>
      </c>
      <c r="D5" s="96" t="s">
        <v>699</v>
      </c>
      <c r="E5" s="92" t="s">
        <v>892</v>
      </c>
      <c r="F5" s="92" t="s">
        <v>891</v>
      </c>
      <c r="G5" s="92" t="s">
        <v>890</v>
      </c>
      <c r="H5" s="92" t="s">
        <v>889</v>
      </c>
      <c r="I5" s="92" t="s">
        <v>885</v>
      </c>
      <c r="J5" s="92" t="s">
        <v>885</v>
      </c>
      <c r="K5" s="92" t="s">
        <v>888</v>
      </c>
      <c r="L5" s="92" t="s">
        <v>885</v>
      </c>
      <c r="M5" s="92" t="s">
        <v>887</v>
      </c>
      <c r="N5" s="92" t="s">
        <v>886</v>
      </c>
      <c r="O5" s="92" t="s">
        <v>885</v>
      </c>
      <c r="P5" s="93"/>
    </row>
    <row r="6" spans="1:16" ht="93" customHeight="1">
      <c r="A6" s="98" t="s">
        <v>884</v>
      </c>
      <c r="B6" s="97" t="s">
        <v>648</v>
      </c>
      <c r="C6" s="97" t="s">
        <v>883</v>
      </c>
      <c r="D6" s="96" t="s">
        <v>882</v>
      </c>
      <c r="E6" s="92" t="s">
        <v>881</v>
      </c>
      <c r="F6" s="92" t="s">
        <v>880</v>
      </c>
      <c r="G6" s="92" t="s">
        <v>879</v>
      </c>
      <c r="H6" s="92"/>
      <c r="I6" s="92" t="s">
        <v>878</v>
      </c>
      <c r="J6" s="92" t="s">
        <v>877</v>
      </c>
      <c r="K6" s="92" t="s">
        <v>876</v>
      </c>
      <c r="L6" s="92" t="s">
        <v>875</v>
      </c>
      <c r="M6" s="92" t="s">
        <v>874</v>
      </c>
      <c r="N6" s="92" t="s">
        <v>873</v>
      </c>
      <c r="O6" s="92" t="s">
        <v>872</v>
      </c>
      <c r="P6" s="93"/>
    </row>
    <row r="7" spans="1:16" ht="72" customHeight="1">
      <c r="A7" s="98" t="s">
        <v>871</v>
      </c>
      <c r="B7" s="97" t="s">
        <v>648</v>
      </c>
      <c r="C7" s="97" t="s">
        <v>870</v>
      </c>
      <c r="D7" s="96" t="s">
        <v>869</v>
      </c>
      <c r="E7" s="92" t="s">
        <v>868</v>
      </c>
      <c r="F7" s="92" t="s">
        <v>867</v>
      </c>
      <c r="G7" s="92" t="s">
        <v>866</v>
      </c>
      <c r="H7" s="92" t="s">
        <v>865</v>
      </c>
      <c r="I7" s="92" t="s">
        <v>864</v>
      </c>
      <c r="J7" s="92" t="s">
        <v>863</v>
      </c>
      <c r="K7" s="92" t="s">
        <v>862</v>
      </c>
      <c r="L7" s="92" t="s">
        <v>861</v>
      </c>
      <c r="M7" s="92" t="s">
        <v>860</v>
      </c>
      <c r="N7" s="92" t="s">
        <v>859</v>
      </c>
      <c r="O7" s="92" t="s">
        <v>858</v>
      </c>
      <c r="P7" s="93"/>
    </row>
    <row r="8" spans="1:16" ht="72" customHeight="1">
      <c r="A8" s="98" t="s">
        <v>689</v>
      </c>
      <c r="B8" s="97" t="s">
        <v>648</v>
      </c>
      <c r="C8" s="97" t="s">
        <v>688</v>
      </c>
      <c r="D8" s="96" t="s">
        <v>687</v>
      </c>
      <c r="E8" s="92" t="s">
        <v>857</v>
      </c>
      <c r="F8" s="92" t="s">
        <v>856</v>
      </c>
      <c r="G8" s="92" t="s">
        <v>855</v>
      </c>
      <c r="H8" s="92" t="s">
        <v>854</v>
      </c>
      <c r="I8" s="92" t="s">
        <v>853</v>
      </c>
      <c r="J8" s="92" t="s">
        <v>852</v>
      </c>
      <c r="K8" s="92" t="s">
        <v>851</v>
      </c>
      <c r="L8" s="92" t="s">
        <v>850</v>
      </c>
      <c r="M8" s="92" t="s">
        <v>849</v>
      </c>
      <c r="N8" s="92" t="s">
        <v>848</v>
      </c>
      <c r="O8" s="92" t="s">
        <v>847</v>
      </c>
      <c r="P8" s="93"/>
    </row>
    <row r="9" spans="1:16" ht="72" customHeight="1">
      <c r="A9" s="98" t="s">
        <v>677</v>
      </c>
      <c r="B9" s="97" t="s">
        <v>648</v>
      </c>
      <c r="C9" s="97" t="s">
        <v>676</v>
      </c>
      <c r="D9" s="96" t="s">
        <v>675</v>
      </c>
      <c r="E9" s="92" t="s">
        <v>846</v>
      </c>
      <c r="F9" s="92" t="s">
        <v>845</v>
      </c>
      <c r="G9" s="92" t="s">
        <v>845</v>
      </c>
      <c r="H9" s="92" t="s">
        <v>845</v>
      </c>
      <c r="I9" s="92" t="s">
        <v>844</v>
      </c>
      <c r="J9" s="92" t="s">
        <v>843</v>
      </c>
      <c r="K9" s="92" t="s">
        <v>842</v>
      </c>
      <c r="L9" s="92" t="s">
        <v>841</v>
      </c>
      <c r="M9" s="92" t="s">
        <v>840</v>
      </c>
      <c r="N9" s="92" t="s">
        <v>839</v>
      </c>
      <c r="O9" s="92" t="s">
        <v>838</v>
      </c>
      <c r="P9" s="93"/>
    </row>
    <row r="10" spans="1:16" ht="72" customHeight="1">
      <c r="A10" s="98" t="s">
        <v>665</v>
      </c>
      <c r="B10" s="97" t="s">
        <v>648</v>
      </c>
      <c r="C10" s="97" t="s">
        <v>664</v>
      </c>
      <c r="D10" s="96" t="s">
        <v>663</v>
      </c>
      <c r="E10" s="92" t="s">
        <v>837</v>
      </c>
      <c r="F10" s="92" t="s">
        <v>836</v>
      </c>
      <c r="G10" s="92" t="s">
        <v>835</v>
      </c>
      <c r="H10" s="92"/>
      <c r="I10" s="92" t="s">
        <v>834</v>
      </c>
      <c r="J10" s="92" t="s">
        <v>833</v>
      </c>
      <c r="K10" s="92" t="s">
        <v>832</v>
      </c>
      <c r="L10" s="92" t="s">
        <v>831</v>
      </c>
      <c r="M10" s="92" t="s">
        <v>830</v>
      </c>
      <c r="N10" s="92" t="s">
        <v>829</v>
      </c>
      <c r="O10" s="92" t="s">
        <v>828</v>
      </c>
      <c r="P10" s="93"/>
    </row>
    <row r="11" spans="1:16" ht="105.75" customHeight="1">
      <c r="A11" s="98" t="s">
        <v>827</v>
      </c>
      <c r="B11" s="97" t="s">
        <v>648</v>
      </c>
      <c r="C11" s="97" t="s">
        <v>826</v>
      </c>
      <c r="D11" s="96" t="s">
        <v>825</v>
      </c>
      <c r="E11" s="92" t="s">
        <v>824</v>
      </c>
      <c r="F11" s="92" t="s">
        <v>823</v>
      </c>
      <c r="G11" s="92" t="s">
        <v>822</v>
      </c>
      <c r="H11" s="92" t="s">
        <v>821</v>
      </c>
      <c r="I11" s="92" t="s">
        <v>820</v>
      </c>
      <c r="J11" s="92" t="s">
        <v>819</v>
      </c>
      <c r="K11" s="92" t="s">
        <v>818</v>
      </c>
      <c r="L11" s="92" t="s">
        <v>817</v>
      </c>
      <c r="M11" s="92" t="s">
        <v>816</v>
      </c>
      <c r="N11" s="92" t="s">
        <v>815</v>
      </c>
      <c r="O11" s="92" t="s">
        <v>814</v>
      </c>
      <c r="P11" s="93"/>
    </row>
    <row r="12" spans="1:16" ht="72" customHeight="1">
      <c r="A12" s="98" t="s">
        <v>813</v>
      </c>
      <c r="B12" s="97" t="s">
        <v>648</v>
      </c>
      <c r="C12" s="97" t="s">
        <v>812</v>
      </c>
      <c r="D12" s="96" t="s">
        <v>811</v>
      </c>
      <c r="E12" s="92" t="s">
        <v>810</v>
      </c>
      <c r="F12" s="92" t="s">
        <v>809</v>
      </c>
      <c r="G12" s="92" t="s">
        <v>808</v>
      </c>
      <c r="H12" s="92" t="s">
        <v>807</v>
      </c>
      <c r="I12" s="92" t="s">
        <v>806</v>
      </c>
      <c r="J12" s="92" t="s">
        <v>805</v>
      </c>
      <c r="K12" s="92" t="s">
        <v>804</v>
      </c>
      <c r="L12" s="92" t="s">
        <v>803</v>
      </c>
      <c r="M12" s="92" t="s">
        <v>802</v>
      </c>
      <c r="N12" s="92" t="s">
        <v>801</v>
      </c>
      <c r="O12" s="92" t="s">
        <v>800</v>
      </c>
      <c r="P12" s="93"/>
    </row>
    <row r="13" spans="1:16" ht="72" customHeight="1">
      <c r="A13" s="98" t="s">
        <v>799</v>
      </c>
      <c r="B13" s="97" t="s">
        <v>648</v>
      </c>
      <c r="C13" s="97" t="s">
        <v>798</v>
      </c>
      <c r="D13" s="96" t="s">
        <v>797</v>
      </c>
      <c r="E13" s="92" t="s">
        <v>796</v>
      </c>
      <c r="F13" s="92"/>
      <c r="G13" s="92"/>
      <c r="H13" s="92" t="s">
        <v>795</v>
      </c>
      <c r="I13" s="92" t="s">
        <v>794</v>
      </c>
      <c r="J13" s="92" t="s">
        <v>793</v>
      </c>
      <c r="K13" s="92" t="s">
        <v>792</v>
      </c>
      <c r="L13" s="92" t="s">
        <v>791</v>
      </c>
      <c r="M13" s="92" t="s">
        <v>790</v>
      </c>
      <c r="N13" s="92" t="s">
        <v>789</v>
      </c>
      <c r="O13" s="92" t="s">
        <v>788</v>
      </c>
      <c r="P13" s="93"/>
    </row>
    <row r="14" spans="1:16" ht="72" customHeight="1">
      <c r="A14" s="98" t="s">
        <v>653</v>
      </c>
      <c r="B14" s="97" t="s">
        <v>648</v>
      </c>
      <c r="C14" s="97" t="s">
        <v>652</v>
      </c>
      <c r="D14" s="96" t="s">
        <v>651</v>
      </c>
      <c r="E14" s="92" t="s">
        <v>787</v>
      </c>
      <c r="F14" s="92" t="s">
        <v>786</v>
      </c>
      <c r="G14" s="92" t="s">
        <v>785</v>
      </c>
      <c r="H14" s="92" t="s">
        <v>784</v>
      </c>
      <c r="I14" s="92" t="s">
        <v>783</v>
      </c>
      <c r="J14" s="92" t="s">
        <v>782</v>
      </c>
      <c r="K14" s="92" t="s">
        <v>781</v>
      </c>
      <c r="L14" s="92" t="s">
        <v>780</v>
      </c>
      <c r="M14" s="92" t="s">
        <v>779</v>
      </c>
      <c r="N14" s="92" t="s">
        <v>778</v>
      </c>
      <c r="O14" s="92" t="s">
        <v>777</v>
      </c>
      <c r="P14" s="93"/>
    </row>
    <row r="15" spans="1:16" ht="72" customHeight="1">
      <c r="A15" s="98" t="s">
        <v>776</v>
      </c>
      <c r="B15" s="97" t="s">
        <v>648</v>
      </c>
      <c r="C15" s="97" t="s">
        <v>775</v>
      </c>
      <c r="D15" s="96" t="s">
        <v>774</v>
      </c>
      <c r="E15" s="92" t="s">
        <v>773</v>
      </c>
      <c r="F15" s="92" t="s">
        <v>772</v>
      </c>
      <c r="G15" s="92" t="s">
        <v>771</v>
      </c>
      <c r="H15" s="92" t="s">
        <v>770</v>
      </c>
      <c r="I15" s="92" t="s">
        <v>769</v>
      </c>
      <c r="J15" s="92" t="s">
        <v>768</v>
      </c>
      <c r="K15" s="92" t="s">
        <v>767</v>
      </c>
      <c r="L15" s="92" t="s">
        <v>766</v>
      </c>
      <c r="M15" s="92" t="s">
        <v>765</v>
      </c>
      <c r="N15" s="92" t="s">
        <v>764</v>
      </c>
      <c r="O15" s="92" t="s">
        <v>763</v>
      </c>
      <c r="P15" s="93"/>
    </row>
    <row r="16" spans="1:16" ht="72" customHeight="1">
      <c r="A16" s="98" t="s">
        <v>762</v>
      </c>
      <c r="B16" s="97" t="s">
        <v>648</v>
      </c>
      <c r="C16" s="97" t="s">
        <v>761</v>
      </c>
      <c r="D16" s="96" t="s">
        <v>760</v>
      </c>
      <c r="E16" s="92" t="s">
        <v>759</v>
      </c>
      <c r="F16" s="92" t="s">
        <v>758</v>
      </c>
      <c r="G16" s="92" t="s">
        <v>757</v>
      </c>
      <c r="H16" s="92" t="s">
        <v>756</v>
      </c>
      <c r="I16" s="92" t="s">
        <v>755</v>
      </c>
      <c r="J16" s="92" t="s">
        <v>754</v>
      </c>
      <c r="K16" s="92" t="s">
        <v>753</v>
      </c>
      <c r="L16" s="92" t="s">
        <v>752</v>
      </c>
      <c r="M16" s="92" t="s">
        <v>751</v>
      </c>
      <c r="N16" s="92" t="s">
        <v>750</v>
      </c>
      <c r="O16" s="92" t="s">
        <v>749</v>
      </c>
      <c r="P16" s="93"/>
    </row>
    <row r="17" spans="1:16" ht="72" customHeight="1">
      <c r="A17" s="98" t="s">
        <v>705</v>
      </c>
      <c r="B17" s="97" t="s">
        <v>648</v>
      </c>
      <c r="C17" s="97" t="s">
        <v>704</v>
      </c>
      <c r="D17" s="96" t="s">
        <v>703</v>
      </c>
      <c r="E17" s="92" t="s">
        <v>748</v>
      </c>
      <c r="F17" s="92"/>
      <c r="G17" s="92" t="s">
        <v>747</v>
      </c>
      <c r="H17" s="92"/>
      <c r="I17" s="92" t="s">
        <v>746</v>
      </c>
      <c r="J17" s="92" t="s">
        <v>745</v>
      </c>
      <c r="K17" s="92" t="s">
        <v>744</v>
      </c>
      <c r="L17" s="92" t="s">
        <v>743</v>
      </c>
      <c r="M17" s="92" t="s">
        <v>742</v>
      </c>
      <c r="N17" s="92" t="s">
        <v>741</v>
      </c>
      <c r="O17" s="92" t="s">
        <v>740</v>
      </c>
      <c r="P17" s="93"/>
    </row>
    <row r="18" spans="1:16" ht="72" customHeight="1">
      <c r="A18" s="98" t="s">
        <v>701</v>
      </c>
      <c r="B18" s="97" t="s">
        <v>647</v>
      </c>
      <c r="C18" s="97" t="s">
        <v>700</v>
      </c>
      <c r="D18" s="96" t="s">
        <v>699</v>
      </c>
      <c r="E18" s="95" t="s">
        <v>739</v>
      </c>
      <c r="F18" s="95" t="s">
        <v>738</v>
      </c>
      <c r="G18" s="92" t="s">
        <v>737</v>
      </c>
      <c r="H18" s="92" t="s">
        <v>736</v>
      </c>
      <c r="I18" s="92" t="s">
        <v>735</v>
      </c>
      <c r="J18" s="92" t="s">
        <v>734</v>
      </c>
      <c r="K18" s="92" t="s">
        <v>733</v>
      </c>
      <c r="L18" s="92" t="s">
        <v>731</v>
      </c>
      <c r="M18" s="92" t="s">
        <v>732</v>
      </c>
      <c r="N18" s="92" t="s">
        <v>731</v>
      </c>
      <c r="O18" s="92" t="s">
        <v>730</v>
      </c>
      <c r="P18" s="93"/>
    </row>
    <row r="19" spans="1:16" ht="72" customHeight="1">
      <c r="A19" s="98" t="s">
        <v>689</v>
      </c>
      <c r="B19" s="97" t="s">
        <v>647</v>
      </c>
      <c r="C19" s="97" t="s">
        <v>688</v>
      </c>
      <c r="D19" s="96" t="s">
        <v>687</v>
      </c>
      <c r="E19" s="95" t="s">
        <v>729</v>
      </c>
      <c r="F19" s="94"/>
      <c r="G19" s="92"/>
      <c r="H19" s="92" t="s">
        <v>728</v>
      </c>
      <c r="I19" s="92" t="s">
        <v>727</v>
      </c>
      <c r="J19" s="92" t="s">
        <v>726</v>
      </c>
      <c r="K19" s="92" t="s">
        <v>725</v>
      </c>
      <c r="L19" s="92" t="s">
        <v>724</v>
      </c>
      <c r="M19" s="92" t="s">
        <v>723</v>
      </c>
      <c r="N19" s="92" t="s">
        <v>722</v>
      </c>
      <c r="O19" s="92" t="s">
        <v>721</v>
      </c>
      <c r="P19" s="93"/>
    </row>
    <row r="20" spans="1:16" ht="72" customHeight="1">
      <c r="A20" s="98" t="s">
        <v>677</v>
      </c>
      <c r="B20" s="97" t="s">
        <v>647</v>
      </c>
      <c r="C20" s="97" t="s">
        <v>676</v>
      </c>
      <c r="D20" s="96" t="s">
        <v>675</v>
      </c>
      <c r="E20" s="95" t="s">
        <v>720</v>
      </c>
      <c r="F20" s="95"/>
      <c r="G20" s="92" t="s">
        <v>719</v>
      </c>
      <c r="H20" s="92"/>
      <c r="I20" s="92" t="s">
        <v>718</v>
      </c>
      <c r="J20" s="92" t="s">
        <v>717</v>
      </c>
      <c r="K20" s="92" t="s">
        <v>716</v>
      </c>
      <c r="L20" s="92" t="s">
        <v>715</v>
      </c>
      <c r="M20" s="92" t="s">
        <v>714</v>
      </c>
      <c r="N20" s="92" t="s">
        <v>713</v>
      </c>
      <c r="O20" s="92" t="s">
        <v>712</v>
      </c>
      <c r="P20" s="93"/>
    </row>
    <row r="21" spans="1:16" ht="72" customHeight="1">
      <c r="A21" s="98" t="s">
        <v>665</v>
      </c>
      <c r="B21" s="97" t="s">
        <v>647</v>
      </c>
      <c r="C21" s="97" t="s">
        <v>664</v>
      </c>
      <c r="D21" s="96" t="s">
        <v>663</v>
      </c>
      <c r="E21" s="95"/>
      <c r="F21" s="92" t="s">
        <v>711</v>
      </c>
      <c r="G21" s="92" t="s">
        <v>710</v>
      </c>
      <c r="H21" s="94"/>
      <c r="I21" s="94"/>
      <c r="J21" s="92" t="s">
        <v>709</v>
      </c>
      <c r="K21" s="92"/>
      <c r="L21" s="94"/>
      <c r="M21" s="92" t="s">
        <v>708</v>
      </c>
      <c r="N21" s="92" t="s">
        <v>707</v>
      </c>
      <c r="O21" s="92" t="s">
        <v>706</v>
      </c>
      <c r="P21" s="93"/>
    </row>
    <row r="22" spans="1:16" ht="72" customHeight="1">
      <c r="A22" s="98" t="s">
        <v>705</v>
      </c>
      <c r="B22" s="97" t="s">
        <v>647</v>
      </c>
      <c r="C22" s="97" t="s">
        <v>704</v>
      </c>
      <c r="D22" s="96" t="s">
        <v>703</v>
      </c>
      <c r="E22" s="95" t="s">
        <v>702</v>
      </c>
      <c r="F22" s="94"/>
      <c r="G22" s="94"/>
      <c r="H22" s="94"/>
      <c r="I22" s="94"/>
      <c r="J22" s="94"/>
      <c r="K22" s="94"/>
      <c r="L22" s="94"/>
      <c r="M22" s="94"/>
      <c r="N22" s="94"/>
      <c r="O22" s="92"/>
      <c r="P22" s="93"/>
    </row>
    <row r="23" spans="1:16" ht="72" customHeight="1">
      <c r="A23" s="98" t="s">
        <v>701</v>
      </c>
      <c r="B23" s="97" t="s">
        <v>646</v>
      </c>
      <c r="C23" s="97" t="s">
        <v>700</v>
      </c>
      <c r="D23" s="96" t="s">
        <v>699</v>
      </c>
      <c r="E23" s="92" t="s">
        <v>691</v>
      </c>
      <c r="F23" s="92" t="s">
        <v>691</v>
      </c>
      <c r="G23" s="92" t="s">
        <v>698</v>
      </c>
      <c r="H23" s="92" t="s">
        <v>697</v>
      </c>
      <c r="I23" s="92" t="s">
        <v>696</v>
      </c>
      <c r="J23" s="92" t="s">
        <v>695</v>
      </c>
      <c r="K23" s="92" t="s">
        <v>694</v>
      </c>
      <c r="L23" s="92" t="s">
        <v>693</v>
      </c>
      <c r="M23" s="92" t="s">
        <v>692</v>
      </c>
      <c r="N23" s="92" t="s">
        <v>691</v>
      </c>
      <c r="O23" s="92" t="s">
        <v>690</v>
      </c>
      <c r="P23" s="93"/>
    </row>
    <row r="24" spans="1:16" ht="84" customHeight="1">
      <c r="A24" s="98" t="s">
        <v>689</v>
      </c>
      <c r="B24" s="97" t="s">
        <v>646</v>
      </c>
      <c r="C24" s="97" t="s">
        <v>688</v>
      </c>
      <c r="D24" s="96" t="s">
        <v>687</v>
      </c>
      <c r="E24" s="92" t="s">
        <v>686</v>
      </c>
      <c r="F24" s="92"/>
      <c r="G24" s="92" t="s">
        <v>685</v>
      </c>
      <c r="H24" s="92"/>
      <c r="I24" s="92" t="s">
        <v>684</v>
      </c>
      <c r="J24" s="92" t="s">
        <v>683</v>
      </c>
      <c r="K24" s="92" t="s">
        <v>682</v>
      </c>
      <c r="L24" s="92" t="s">
        <v>681</v>
      </c>
      <c r="M24" s="92" t="s">
        <v>680</v>
      </c>
      <c r="N24" s="92" t="s">
        <v>679</v>
      </c>
      <c r="O24" s="92" t="s">
        <v>678</v>
      </c>
      <c r="P24" s="93"/>
    </row>
    <row r="25" spans="1:16" ht="72" customHeight="1">
      <c r="A25" s="98" t="s">
        <v>677</v>
      </c>
      <c r="B25" s="97" t="s">
        <v>646</v>
      </c>
      <c r="C25" s="97" t="s">
        <v>676</v>
      </c>
      <c r="D25" s="96" t="s">
        <v>675</v>
      </c>
      <c r="E25" s="92" t="s">
        <v>674</v>
      </c>
      <c r="F25" s="92" t="s">
        <v>673</v>
      </c>
      <c r="G25" s="92"/>
      <c r="H25" s="92"/>
      <c r="I25" s="92" t="s">
        <v>672</v>
      </c>
      <c r="J25" s="92" t="s">
        <v>671</v>
      </c>
      <c r="K25" s="92" t="s">
        <v>670</v>
      </c>
      <c r="L25" s="92" t="s">
        <v>669</v>
      </c>
      <c r="M25" s="92" t="s">
        <v>668</v>
      </c>
      <c r="N25" s="92" t="s">
        <v>667</v>
      </c>
      <c r="O25" s="92" t="s">
        <v>666</v>
      </c>
      <c r="P25" s="93"/>
    </row>
    <row r="26" spans="1:16" ht="72" customHeight="1">
      <c r="A26" s="98" t="s">
        <v>665</v>
      </c>
      <c r="B26" s="97" t="s">
        <v>646</v>
      </c>
      <c r="C26" s="97" t="s">
        <v>664</v>
      </c>
      <c r="D26" s="96" t="s">
        <v>663</v>
      </c>
      <c r="E26" s="92"/>
      <c r="F26" s="92" t="s">
        <v>662</v>
      </c>
      <c r="G26" s="92" t="s">
        <v>661</v>
      </c>
      <c r="H26" s="92" t="s">
        <v>660</v>
      </c>
      <c r="I26" s="92" t="s">
        <v>659</v>
      </c>
      <c r="J26" s="92"/>
      <c r="K26" s="92" t="s">
        <v>658</v>
      </c>
      <c r="L26" s="92" t="s">
        <v>657</v>
      </c>
      <c r="M26" s="92" t="s">
        <v>656</v>
      </c>
      <c r="N26" s="92" t="s">
        <v>655</v>
      </c>
      <c r="O26" s="92" t="s">
        <v>654</v>
      </c>
      <c r="P26" s="93"/>
    </row>
    <row r="27" spans="1:16" ht="72" customHeight="1">
      <c r="A27" s="98" t="s">
        <v>653</v>
      </c>
      <c r="B27" s="97" t="s">
        <v>646</v>
      </c>
      <c r="C27" s="97" t="s">
        <v>652</v>
      </c>
      <c r="D27" s="96" t="s">
        <v>651</v>
      </c>
      <c r="E27" s="95" t="s">
        <v>650</v>
      </c>
      <c r="F27" s="92"/>
      <c r="G27" s="92"/>
      <c r="H27" s="92"/>
      <c r="I27" s="92"/>
      <c r="J27" s="92"/>
      <c r="K27" s="92"/>
      <c r="L27" s="92"/>
      <c r="M27" s="92"/>
      <c r="N27" s="92" t="s">
        <v>649</v>
      </c>
      <c r="O27" s="94"/>
      <c r="P27" s="93"/>
    </row>
    <row r="28" spans="1:16" ht="15">
      <c r="I28" s="92"/>
    </row>
  </sheetData>
  <mergeCells count="1">
    <mergeCell ref="A1:P1"/>
  </mergeCells>
  <dataValidations count="1">
    <dataValidation type="list" sqref="N5:N13 E5:M27 O5:O27 N15:N27" xr:uid="{00000000-0002-0000-0000-000000000000}">
      <formula1>"✓,✕"</formula1>
    </dataValidation>
  </dataValidations>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EDB42D-42C0-48ED-AED7-D0EF7CDB5E35}">
  <dimension ref="A1:K105"/>
  <sheetViews>
    <sheetView topLeftCell="A10" zoomScaleNormal="100" workbookViewId="0">
      <selection activeCell="B15" sqref="B15:K15"/>
    </sheetView>
  </sheetViews>
  <sheetFormatPr defaultRowHeight="14.25"/>
  <cols>
    <col min="1" max="1" width="3.7109375" style="90" customWidth="1"/>
    <col min="2" max="4" width="20.5703125" style="90" customWidth="1"/>
    <col min="5" max="5" width="16" style="90" customWidth="1"/>
    <col min="6" max="7" width="3.7109375" style="90" customWidth="1"/>
    <col min="8" max="10" width="20.5703125" style="90" customWidth="1"/>
    <col min="11" max="11" width="16" style="90" customWidth="1"/>
    <col min="12" max="16384" width="9.140625" style="90"/>
  </cols>
  <sheetData>
    <row r="1" spans="1:11" ht="8.1" customHeight="1">
      <c r="A1" s="121"/>
      <c r="B1" s="120"/>
      <c r="C1" s="119"/>
      <c r="D1" s="118"/>
      <c r="E1" s="117"/>
      <c r="F1" s="116"/>
      <c r="G1" s="115"/>
      <c r="H1" s="114"/>
      <c r="I1" s="113"/>
      <c r="J1" s="112"/>
      <c r="K1" s="111"/>
    </row>
    <row r="2" spans="1:11" ht="24.95" customHeight="1">
      <c r="A2" s="123" t="s">
        <v>961</v>
      </c>
      <c r="B2" s="123"/>
      <c r="C2" s="123"/>
      <c r="D2" s="123"/>
      <c r="E2" s="123"/>
      <c r="F2" s="123"/>
      <c r="G2" s="123"/>
      <c r="H2" s="123"/>
      <c r="I2" s="123"/>
      <c r="J2" s="123"/>
      <c r="K2" s="123"/>
    </row>
    <row r="3" spans="1:11" ht="24.95" customHeight="1">
      <c r="A3" s="123"/>
      <c r="B3" s="123"/>
      <c r="C3" s="123"/>
      <c r="D3" s="123"/>
      <c r="E3" s="123"/>
      <c r="F3" s="123"/>
      <c r="G3" s="123"/>
      <c r="H3" s="123"/>
      <c r="I3" s="123"/>
      <c r="J3" s="123"/>
      <c r="K3" s="123"/>
    </row>
    <row r="4" spans="1:11" ht="8.1" customHeight="1">
      <c r="A4" s="105"/>
      <c r="B4" s="105"/>
      <c r="C4" s="105"/>
      <c r="D4" s="105"/>
      <c r="E4" s="105"/>
      <c r="F4" s="105"/>
      <c r="G4" s="105"/>
      <c r="H4" s="105"/>
      <c r="I4" s="105"/>
      <c r="J4" s="105"/>
      <c r="K4" s="105"/>
    </row>
    <row r="5" spans="1:11" ht="24.95" customHeight="1">
      <c r="A5" s="108"/>
      <c r="B5" s="124" t="s">
        <v>960</v>
      </c>
      <c r="C5" s="124"/>
      <c r="D5" s="124"/>
      <c r="E5" s="124"/>
      <c r="F5" s="124"/>
      <c r="G5" s="124"/>
      <c r="H5" s="124"/>
      <c r="I5" s="125" t="s">
        <v>905</v>
      </c>
      <c r="J5" s="125"/>
      <c r="K5" s="110"/>
    </row>
    <row r="6" spans="1:11" ht="24" customHeight="1">
      <c r="A6" s="108"/>
      <c r="B6" s="126" t="s">
        <v>959</v>
      </c>
      <c r="C6" s="126"/>
      <c r="D6" s="126"/>
      <c r="E6" s="126"/>
      <c r="F6" s="126"/>
      <c r="G6" s="126"/>
      <c r="H6" s="126"/>
      <c r="I6" s="126"/>
      <c r="J6" s="126"/>
      <c r="K6" s="126"/>
    </row>
    <row r="7" spans="1:11" ht="49.5" customHeight="1">
      <c r="A7" s="106"/>
      <c r="B7" s="127" t="s">
        <v>958</v>
      </c>
      <c r="C7" s="127"/>
      <c r="D7" s="127"/>
      <c r="E7" s="127"/>
      <c r="F7" s="127"/>
      <c r="G7" s="127"/>
      <c r="H7" s="127"/>
      <c r="I7" s="127"/>
      <c r="J7" s="127"/>
      <c r="K7" s="127"/>
    </row>
    <row r="8" spans="1:11" ht="44.1" customHeight="1">
      <c r="A8" s="106"/>
      <c r="B8" s="127" t="s">
        <v>957</v>
      </c>
      <c r="C8" s="127"/>
      <c r="D8" s="127"/>
      <c r="E8" s="127"/>
      <c r="F8" s="127"/>
      <c r="G8" s="127"/>
      <c r="H8" s="127"/>
      <c r="I8" s="127"/>
      <c r="J8" s="127"/>
      <c r="K8" s="127"/>
    </row>
    <row r="9" spans="1:11" ht="24" customHeight="1">
      <c r="A9" s="108"/>
      <c r="B9" s="126" t="s">
        <v>956</v>
      </c>
      <c r="C9" s="126"/>
      <c r="D9" s="126"/>
      <c r="E9" s="126"/>
      <c r="F9" s="126"/>
      <c r="G9" s="126"/>
      <c r="H9" s="126"/>
      <c r="I9" s="126"/>
      <c r="J9" s="126"/>
      <c r="K9" s="126"/>
    </row>
    <row r="10" spans="1:11" ht="44.1" customHeight="1">
      <c r="A10" s="106"/>
      <c r="B10" s="127" t="s">
        <v>955</v>
      </c>
      <c r="C10" s="127"/>
      <c r="D10" s="127"/>
      <c r="E10" s="127"/>
      <c r="F10" s="127"/>
      <c r="G10" s="127"/>
      <c r="H10" s="127"/>
      <c r="I10" s="127"/>
      <c r="J10" s="127"/>
      <c r="K10" s="127"/>
    </row>
    <row r="11" spans="1:11" ht="29.1" customHeight="1">
      <c r="A11" s="106"/>
      <c r="B11" s="127" t="s">
        <v>954</v>
      </c>
      <c r="C11" s="127"/>
      <c r="D11" s="127"/>
      <c r="E11" s="127"/>
      <c r="F11" s="127"/>
      <c r="G11" s="127"/>
      <c r="H11" s="127"/>
      <c r="I11" s="127"/>
      <c r="J11" s="127"/>
      <c r="K11" s="127"/>
    </row>
    <row r="12" spans="1:11" ht="24" customHeight="1">
      <c r="A12" s="108"/>
      <c r="B12" s="126" t="s">
        <v>953</v>
      </c>
      <c r="C12" s="126"/>
      <c r="D12" s="126"/>
      <c r="E12" s="126"/>
      <c r="F12" s="126"/>
      <c r="G12" s="126"/>
      <c r="H12" s="126"/>
      <c r="I12" s="126"/>
      <c r="J12" s="126"/>
      <c r="K12" s="126"/>
    </row>
    <row r="13" spans="1:11" ht="44.1" customHeight="1">
      <c r="A13" s="106"/>
      <c r="B13" s="127" t="s">
        <v>952</v>
      </c>
      <c r="C13" s="127"/>
      <c r="D13" s="127"/>
      <c r="E13" s="127"/>
      <c r="F13" s="127"/>
      <c r="G13" s="127"/>
      <c r="H13" s="127"/>
      <c r="I13" s="127"/>
      <c r="J13" s="127"/>
      <c r="K13" s="127"/>
    </row>
    <row r="14" spans="1:11" ht="24" customHeight="1">
      <c r="A14" s="108"/>
      <c r="B14" s="126" t="s">
        <v>951</v>
      </c>
      <c r="C14" s="126"/>
      <c r="D14" s="126"/>
      <c r="E14" s="126"/>
      <c r="F14" s="126"/>
      <c r="G14" s="126"/>
      <c r="H14" s="126"/>
      <c r="I14" s="126"/>
      <c r="J14" s="126"/>
      <c r="K14" s="126"/>
    </row>
    <row r="15" spans="1:11" ht="109.5" customHeight="1">
      <c r="A15" s="106"/>
      <c r="B15" s="127" t="s">
        <v>950</v>
      </c>
      <c r="C15" s="127"/>
      <c r="D15" s="127"/>
      <c r="E15" s="127"/>
      <c r="F15" s="127"/>
      <c r="G15" s="127"/>
      <c r="H15" s="127"/>
      <c r="I15" s="127"/>
      <c r="J15" s="127"/>
      <c r="K15" s="127"/>
    </row>
    <row r="16" spans="1:11" ht="24" customHeight="1">
      <c r="A16" s="108"/>
      <c r="B16" s="126" t="s">
        <v>949</v>
      </c>
      <c r="C16" s="126"/>
      <c r="D16" s="126"/>
      <c r="E16" s="126"/>
      <c r="F16" s="126"/>
      <c r="G16" s="126"/>
      <c r="H16" s="126"/>
      <c r="I16" s="126"/>
      <c r="J16" s="126"/>
      <c r="K16" s="126"/>
    </row>
    <row r="17" spans="1:11" ht="196.5" customHeight="1">
      <c r="A17" s="106"/>
      <c r="B17" s="127" t="s">
        <v>948</v>
      </c>
      <c r="C17" s="127"/>
      <c r="D17" s="127"/>
      <c r="E17" s="127"/>
      <c r="F17" s="127"/>
      <c r="G17" s="127"/>
      <c r="H17" s="127"/>
      <c r="I17" s="127"/>
      <c r="J17" s="127"/>
      <c r="K17" s="127"/>
    </row>
    <row r="18" spans="1:11" ht="24" customHeight="1">
      <c r="A18" s="108"/>
      <c r="B18" s="126" t="s">
        <v>947</v>
      </c>
      <c r="C18" s="126"/>
      <c r="D18" s="126"/>
      <c r="E18" s="126"/>
      <c r="F18" s="126"/>
      <c r="G18" s="126"/>
      <c r="H18" s="126"/>
      <c r="I18" s="126"/>
      <c r="J18" s="126"/>
      <c r="K18" s="126"/>
    </row>
    <row r="19" spans="1:11" ht="59.1" customHeight="1">
      <c r="A19" s="106"/>
      <c r="B19" s="127" t="s">
        <v>946</v>
      </c>
      <c r="C19" s="127"/>
      <c r="D19" s="127"/>
      <c r="E19" s="127"/>
      <c r="F19" s="127"/>
      <c r="G19" s="127"/>
      <c r="H19" s="127"/>
      <c r="I19" s="127"/>
      <c r="J19" s="127"/>
      <c r="K19" s="127"/>
    </row>
    <row r="20" spans="1:11" ht="8.1" customHeight="1">
      <c r="A20" s="105"/>
      <c r="B20" s="105"/>
      <c r="C20" s="105"/>
      <c r="D20" s="105"/>
      <c r="E20" s="105"/>
      <c r="F20" s="105"/>
      <c r="G20" s="105"/>
      <c r="H20" s="105"/>
      <c r="I20" s="105"/>
      <c r="J20" s="105"/>
      <c r="K20" s="105"/>
    </row>
    <row r="21" spans="1:11" ht="24.95" customHeight="1">
      <c r="A21" s="108"/>
      <c r="B21" s="124" t="s">
        <v>945</v>
      </c>
      <c r="C21" s="124"/>
      <c r="D21" s="124"/>
      <c r="E21" s="124"/>
      <c r="F21" s="124"/>
      <c r="G21" s="124"/>
      <c r="H21" s="124"/>
      <c r="I21" s="124"/>
      <c r="J21" s="124"/>
      <c r="K21" s="124"/>
    </row>
    <row r="22" spans="1:11">
      <c r="A22" s="105"/>
      <c r="B22" s="105"/>
      <c r="C22" s="105"/>
      <c r="D22" s="105"/>
      <c r="E22" s="105"/>
      <c r="F22" s="105"/>
      <c r="G22" s="105"/>
      <c r="H22" s="105"/>
      <c r="I22" s="105"/>
      <c r="J22" s="105"/>
      <c r="K22" s="105"/>
    </row>
    <row r="23" spans="1:11" ht="23.1" customHeight="1">
      <c r="A23" s="108"/>
      <c r="B23" s="128" t="s">
        <v>943</v>
      </c>
      <c r="C23" s="128"/>
      <c r="D23" s="128"/>
      <c r="E23" s="109" t="s">
        <v>905</v>
      </c>
      <c r="F23" s="105"/>
      <c r="G23" s="108"/>
      <c r="H23" s="128" t="s">
        <v>940</v>
      </c>
      <c r="I23" s="128"/>
      <c r="J23" s="128"/>
      <c r="K23" s="109" t="s">
        <v>905</v>
      </c>
    </row>
    <row r="24" spans="1:11" ht="21.95" customHeight="1">
      <c r="A24" s="105"/>
      <c r="B24" s="129" t="s">
        <v>944</v>
      </c>
      <c r="C24" s="129"/>
      <c r="D24" s="129"/>
      <c r="E24" s="129"/>
      <c r="F24" s="105"/>
      <c r="G24" s="105"/>
      <c r="H24" s="129" t="s">
        <v>944</v>
      </c>
      <c r="I24" s="129"/>
      <c r="J24" s="129"/>
      <c r="K24" s="129"/>
    </row>
    <row r="25" spans="1:11" ht="6.95" customHeight="1">
      <c r="A25" s="105"/>
      <c r="B25" s="105"/>
      <c r="C25" s="105"/>
      <c r="D25" s="105"/>
      <c r="E25" s="105"/>
      <c r="F25" s="105"/>
      <c r="G25" s="105"/>
      <c r="H25" s="105"/>
      <c r="I25" s="105"/>
      <c r="J25" s="105"/>
      <c r="K25" s="105"/>
    </row>
    <row r="26" spans="1:11" ht="23.1" customHeight="1">
      <c r="A26" s="108"/>
      <c r="B26" s="128" t="s">
        <v>937</v>
      </c>
      <c r="C26" s="128"/>
      <c r="D26" s="128"/>
      <c r="E26" s="109" t="s">
        <v>905</v>
      </c>
      <c r="F26" s="105"/>
      <c r="G26" s="108"/>
      <c r="H26" s="128" t="s">
        <v>933</v>
      </c>
      <c r="I26" s="128"/>
      <c r="J26" s="128"/>
      <c r="K26" s="109" t="s">
        <v>905</v>
      </c>
    </row>
    <row r="27" spans="1:11" ht="21.95" customHeight="1">
      <c r="A27" s="105"/>
      <c r="B27" s="129" t="s">
        <v>944</v>
      </c>
      <c r="C27" s="129"/>
      <c r="D27" s="129"/>
      <c r="E27" s="129"/>
      <c r="F27" s="105"/>
      <c r="G27" s="105"/>
      <c r="H27" s="129" t="s">
        <v>944</v>
      </c>
      <c r="I27" s="129"/>
      <c r="J27" s="129"/>
      <c r="K27" s="129"/>
    </row>
    <row r="28" spans="1:11" ht="6.95" customHeight="1">
      <c r="A28" s="105"/>
      <c r="B28" s="105"/>
      <c r="C28" s="105"/>
      <c r="D28" s="105"/>
      <c r="E28" s="105"/>
      <c r="F28" s="105"/>
      <c r="G28" s="105"/>
      <c r="H28" s="105"/>
      <c r="I28" s="105"/>
      <c r="J28" s="105"/>
      <c r="K28" s="105"/>
    </row>
    <row r="29" spans="1:11" ht="23.1" customHeight="1">
      <c r="A29" s="108"/>
      <c r="B29" s="128" t="s">
        <v>930</v>
      </c>
      <c r="C29" s="128"/>
      <c r="D29" s="128"/>
      <c r="E29" s="109" t="s">
        <v>905</v>
      </c>
      <c r="F29" s="105"/>
      <c r="G29" s="108"/>
      <c r="H29" s="128" t="s">
        <v>923</v>
      </c>
      <c r="I29" s="128"/>
      <c r="J29" s="128"/>
      <c r="K29" s="109" t="s">
        <v>905</v>
      </c>
    </row>
    <row r="30" spans="1:11" ht="21.95" customHeight="1">
      <c r="A30" s="105"/>
      <c r="B30" s="129" t="s">
        <v>944</v>
      </c>
      <c r="C30" s="129"/>
      <c r="D30" s="129"/>
      <c r="E30" s="129"/>
      <c r="F30" s="105"/>
      <c r="G30" s="105"/>
      <c r="H30" s="129" t="s">
        <v>944</v>
      </c>
      <c r="I30" s="129"/>
      <c r="J30" s="129"/>
      <c r="K30" s="129"/>
    </row>
    <row r="31" spans="1:11" ht="6.95" customHeight="1">
      <c r="A31" s="105"/>
      <c r="B31" s="105"/>
      <c r="C31" s="105"/>
      <c r="D31" s="105"/>
      <c r="E31" s="105"/>
      <c r="F31" s="105"/>
      <c r="G31" s="105"/>
      <c r="H31" s="105"/>
      <c r="I31" s="105"/>
      <c r="J31" s="105"/>
      <c r="K31" s="105"/>
    </row>
    <row r="32" spans="1:11" ht="23.1" customHeight="1">
      <c r="A32" s="108"/>
      <c r="B32" s="128" t="s">
        <v>917</v>
      </c>
      <c r="C32" s="128"/>
      <c r="D32" s="128"/>
      <c r="E32" s="109" t="s">
        <v>905</v>
      </c>
      <c r="F32" s="105"/>
      <c r="G32" s="108"/>
      <c r="H32" s="128" t="s">
        <v>914</v>
      </c>
      <c r="I32" s="128"/>
      <c r="J32" s="128"/>
      <c r="K32" s="109" t="s">
        <v>905</v>
      </c>
    </row>
    <row r="33" spans="1:11" ht="21.95" customHeight="1">
      <c r="A33" s="105"/>
      <c r="B33" s="129" t="s">
        <v>944</v>
      </c>
      <c r="C33" s="129"/>
      <c r="D33" s="129"/>
      <c r="E33" s="129"/>
      <c r="F33" s="105"/>
      <c r="G33" s="105"/>
      <c r="H33" s="129" t="s">
        <v>944</v>
      </c>
      <c r="I33" s="129"/>
      <c r="J33" s="129"/>
      <c r="K33" s="129"/>
    </row>
    <row r="34" spans="1:11" ht="6.95" customHeight="1">
      <c r="A34" s="105"/>
      <c r="B34" s="105"/>
      <c r="C34" s="105"/>
      <c r="D34" s="105"/>
      <c r="E34" s="105"/>
      <c r="F34" s="105"/>
      <c r="G34" s="105"/>
      <c r="H34" s="105"/>
      <c r="I34" s="105"/>
      <c r="J34" s="105"/>
      <c r="K34" s="105"/>
    </row>
    <row r="35" spans="1:11" ht="23.1" customHeight="1">
      <c r="A35" s="108"/>
      <c r="B35" s="128" t="s">
        <v>910</v>
      </c>
      <c r="C35" s="128"/>
      <c r="D35" s="128"/>
      <c r="E35" s="109" t="s">
        <v>905</v>
      </c>
      <c r="F35" s="105"/>
      <c r="G35" s="108"/>
      <c r="H35" s="128" t="s">
        <v>906</v>
      </c>
      <c r="I35" s="128"/>
      <c r="J35" s="128"/>
      <c r="K35" s="109" t="s">
        <v>905</v>
      </c>
    </row>
    <row r="36" spans="1:11" ht="21.95" customHeight="1">
      <c r="A36" s="105"/>
      <c r="B36" s="129" t="s">
        <v>944</v>
      </c>
      <c r="C36" s="129"/>
      <c r="D36" s="129"/>
      <c r="E36" s="129"/>
      <c r="F36" s="105"/>
      <c r="G36" s="105"/>
      <c r="H36" s="129" t="s">
        <v>944</v>
      </c>
      <c r="I36" s="129"/>
      <c r="J36" s="129"/>
      <c r="K36" s="129"/>
    </row>
    <row r="37" spans="1:11" ht="6.95" customHeight="1">
      <c r="A37" s="105"/>
      <c r="B37" s="105"/>
      <c r="C37" s="105"/>
      <c r="D37" s="105"/>
      <c r="E37" s="105"/>
      <c r="F37" s="105"/>
      <c r="G37" s="105"/>
      <c r="H37" s="105"/>
      <c r="I37" s="105"/>
      <c r="J37" s="105"/>
      <c r="K37" s="105"/>
    </row>
    <row r="38" spans="1:11">
      <c r="A38" s="105"/>
      <c r="B38" s="105"/>
      <c r="C38" s="105"/>
      <c r="D38" s="105"/>
      <c r="E38" s="105"/>
      <c r="F38" s="105"/>
      <c r="G38" s="105"/>
      <c r="H38" s="105"/>
      <c r="I38" s="105"/>
      <c r="J38" s="105"/>
      <c r="K38" s="105"/>
    </row>
    <row r="39" spans="1:11" ht="24.95" customHeight="1">
      <c r="A39" s="108"/>
      <c r="B39" s="130" t="s">
        <v>943</v>
      </c>
      <c r="C39" s="130"/>
      <c r="D39" s="130"/>
      <c r="E39" s="130"/>
      <c r="F39" s="130"/>
      <c r="G39" s="130"/>
      <c r="H39" s="125" t="s">
        <v>905</v>
      </c>
      <c r="I39" s="125"/>
      <c r="J39" s="131" t="s">
        <v>904</v>
      </c>
      <c r="K39" s="131"/>
    </row>
    <row r="40" spans="1:11" ht="44.1" customHeight="1">
      <c r="A40" s="106"/>
      <c r="B40" s="127" t="s">
        <v>942</v>
      </c>
      <c r="C40" s="127"/>
      <c r="D40" s="127"/>
      <c r="E40" s="127"/>
      <c r="F40" s="127"/>
      <c r="G40" s="127"/>
      <c r="H40" s="127"/>
      <c r="I40" s="127"/>
      <c r="J40" s="127"/>
      <c r="K40" s="127"/>
    </row>
    <row r="41" spans="1:11" ht="29.1" customHeight="1">
      <c r="A41" s="106"/>
      <c r="B41" s="127" t="s">
        <v>941</v>
      </c>
      <c r="C41" s="127"/>
      <c r="D41" s="127"/>
      <c r="E41" s="127"/>
      <c r="F41" s="127"/>
      <c r="G41" s="127"/>
      <c r="H41" s="127"/>
      <c r="I41" s="127"/>
      <c r="J41" s="127"/>
      <c r="K41" s="127"/>
    </row>
    <row r="42" spans="1:11" ht="9" customHeight="1">
      <c r="A42" s="105"/>
      <c r="B42" s="105"/>
      <c r="C42" s="105"/>
      <c r="D42" s="105"/>
      <c r="E42" s="105"/>
      <c r="F42" s="105"/>
      <c r="G42" s="105"/>
      <c r="H42" s="105"/>
      <c r="I42" s="105"/>
      <c r="J42" s="105"/>
      <c r="K42" s="105"/>
    </row>
    <row r="43" spans="1:11" ht="24.95" customHeight="1">
      <c r="A43" s="108"/>
      <c r="B43" s="130" t="s">
        <v>940</v>
      </c>
      <c r="C43" s="130"/>
      <c r="D43" s="130"/>
      <c r="E43" s="130"/>
      <c r="F43" s="130"/>
      <c r="G43" s="130"/>
      <c r="H43" s="125" t="s">
        <v>905</v>
      </c>
      <c r="I43" s="125"/>
      <c r="J43" s="131" t="s">
        <v>904</v>
      </c>
      <c r="K43" s="131"/>
    </row>
    <row r="44" spans="1:11" ht="24" customHeight="1">
      <c r="A44" s="108"/>
      <c r="B44" s="126" t="s">
        <v>925</v>
      </c>
      <c r="C44" s="126"/>
      <c r="D44" s="126"/>
      <c r="E44" s="126"/>
      <c r="F44" s="126"/>
      <c r="G44" s="126"/>
      <c r="H44" s="126"/>
      <c r="I44" s="126"/>
      <c r="J44" s="126"/>
      <c r="K44" s="126"/>
    </row>
    <row r="45" spans="1:11" ht="93" customHeight="1">
      <c r="A45" s="106"/>
      <c r="B45" s="127" t="s">
        <v>939</v>
      </c>
      <c r="C45" s="127"/>
      <c r="D45" s="127"/>
      <c r="E45" s="127"/>
      <c r="F45" s="127"/>
      <c r="G45" s="127"/>
      <c r="H45" s="127"/>
      <c r="I45" s="127"/>
      <c r="J45" s="127"/>
      <c r="K45" s="127"/>
    </row>
    <row r="46" spans="1:11" ht="44.1" customHeight="1">
      <c r="A46" s="106"/>
      <c r="B46" s="127" t="s">
        <v>938</v>
      </c>
      <c r="C46" s="127"/>
      <c r="D46" s="127"/>
      <c r="E46" s="127"/>
      <c r="F46" s="127"/>
      <c r="G46" s="127"/>
      <c r="H46" s="127"/>
      <c r="I46" s="127"/>
      <c r="J46" s="127"/>
      <c r="K46" s="127"/>
    </row>
    <row r="47" spans="1:11" ht="9" customHeight="1">
      <c r="A47" s="105"/>
      <c r="B47" s="105"/>
      <c r="C47" s="105"/>
      <c r="D47" s="105"/>
      <c r="E47" s="105"/>
      <c r="F47" s="105"/>
      <c r="G47" s="105"/>
      <c r="H47" s="105"/>
      <c r="I47" s="105"/>
      <c r="J47" s="105"/>
      <c r="K47" s="105"/>
    </row>
    <row r="48" spans="1:11" ht="24.95" customHeight="1">
      <c r="A48" s="108"/>
      <c r="B48" s="130" t="s">
        <v>937</v>
      </c>
      <c r="C48" s="130"/>
      <c r="D48" s="130"/>
      <c r="E48" s="130"/>
      <c r="F48" s="130"/>
      <c r="G48" s="130"/>
      <c r="H48" s="125" t="s">
        <v>905</v>
      </c>
      <c r="I48" s="125"/>
      <c r="J48" s="131" t="s">
        <v>904</v>
      </c>
      <c r="K48" s="131"/>
    </row>
    <row r="49" spans="1:11" ht="44.1" customHeight="1">
      <c r="A49" s="106"/>
      <c r="B49" s="127" t="s">
        <v>936</v>
      </c>
      <c r="C49" s="127"/>
      <c r="D49" s="127"/>
      <c r="E49" s="127"/>
      <c r="F49" s="127"/>
      <c r="G49" s="127"/>
      <c r="H49" s="127"/>
      <c r="I49" s="127"/>
      <c r="J49" s="127"/>
      <c r="K49" s="127"/>
    </row>
    <row r="50" spans="1:11" ht="24" customHeight="1">
      <c r="A50" s="108"/>
      <c r="B50" s="126" t="s">
        <v>935</v>
      </c>
      <c r="C50" s="126"/>
      <c r="D50" s="126"/>
      <c r="E50" s="126"/>
      <c r="F50" s="126"/>
      <c r="G50" s="126"/>
      <c r="H50" s="126"/>
      <c r="I50" s="126"/>
      <c r="J50" s="126"/>
      <c r="K50" s="126"/>
    </row>
    <row r="51" spans="1:11" ht="74.099999999999994" customHeight="1">
      <c r="A51" s="106"/>
      <c r="B51" s="127" t="s">
        <v>934</v>
      </c>
      <c r="C51" s="127"/>
      <c r="D51" s="127"/>
      <c r="E51" s="127"/>
      <c r="F51" s="127"/>
      <c r="G51" s="127"/>
      <c r="H51" s="127"/>
      <c r="I51" s="127"/>
      <c r="J51" s="127"/>
      <c r="K51" s="127"/>
    </row>
    <row r="52" spans="1:11" ht="9" customHeight="1">
      <c r="A52" s="105"/>
      <c r="B52" s="105"/>
      <c r="C52" s="105"/>
      <c r="D52" s="105"/>
      <c r="E52" s="105"/>
      <c r="F52" s="105"/>
      <c r="G52" s="105"/>
      <c r="H52" s="105"/>
      <c r="I52" s="105"/>
      <c r="J52" s="105"/>
      <c r="K52" s="105"/>
    </row>
    <row r="53" spans="1:11" ht="24.95" customHeight="1">
      <c r="A53" s="108"/>
      <c r="B53" s="130" t="s">
        <v>933</v>
      </c>
      <c r="C53" s="130"/>
      <c r="D53" s="130"/>
      <c r="E53" s="130"/>
      <c r="F53" s="130"/>
      <c r="G53" s="130"/>
      <c r="H53" s="125" t="s">
        <v>905</v>
      </c>
      <c r="I53" s="125"/>
      <c r="J53" s="131" t="s">
        <v>904</v>
      </c>
      <c r="K53" s="131"/>
    </row>
    <row r="54" spans="1:11" ht="24" customHeight="1">
      <c r="A54" s="108"/>
      <c r="B54" s="126" t="s">
        <v>921</v>
      </c>
      <c r="C54" s="126"/>
      <c r="D54" s="126"/>
      <c r="E54" s="126"/>
      <c r="F54" s="126"/>
      <c r="G54" s="126"/>
      <c r="H54" s="126"/>
      <c r="I54" s="126"/>
      <c r="J54" s="126"/>
      <c r="K54" s="126"/>
    </row>
    <row r="55" spans="1:11" ht="89.1" customHeight="1">
      <c r="A55" s="106"/>
      <c r="B55" s="127" t="s">
        <v>932</v>
      </c>
      <c r="C55" s="127"/>
      <c r="D55" s="127"/>
      <c r="E55" s="127"/>
      <c r="F55" s="127"/>
      <c r="G55" s="127"/>
      <c r="H55" s="127"/>
      <c r="I55" s="127"/>
      <c r="J55" s="127"/>
      <c r="K55" s="127"/>
    </row>
    <row r="56" spans="1:11" ht="24" customHeight="1">
      <c r="A56" s="108"/>
      <c r="B56" s="126" t="s">
        <v>919</v>
      </c>
      <c r="C56" s="126"/>
      <c r="D56" s="126"/>
      <c r="E56" s="126"/>
      <c r="F56" s="126"/>
      <c r="G56" s="126"/>
      <c r="H56" s="126"/>
      <c r="I56" s="126"/>
      <c r="J56" s="126"/>
      <c r="K56" s="126"/>
    </row>
    <row r="57" spans="1:11" ht="48.75" customHeight="1">
      <c r="A57" s="106"/>
      <c r="B57" s="127" t="s">
        <v>931</v>
      </c>
      <c r="C57" s="127"/>
      <c r="D57" s="127"/>
      <c r="E57" s="127"/>
      <c r="F57" s="127"/>
      <c r="G57" s="127"/>
      <c r="H57" s="127"/>
      <c r="I57" s="127"/>
      <c r="J57" s="127"/>
      <c r="K57" s="127"/>
    </row>
    <row r="58" spans="1:11" ht="9" customHeight="1">
      <c r="A58" s="105"/>
      <c r="B58" s="105"/>
      <c r="C58" s="105"/>
      <c r="D58" s="105"/>
      <c r="E58" s="105"/>
      <c r="F58" s="105"/>
      <c r="G58" s="105"/>
      <c r="H58" s="105"/>
      <c r="I58" s="105"/>
      <c r="J58" s="105"/>
      <c r="K58" s="105"/>
    </row>
    <row r="59" spans="1:11" ht="24.95" customHeight="1">
      <c r="A59" s="108"/>
      <c r="B59" s="130" t="s">
        <v>930</v>
      </c>
      <c r="C59" s="130"/>
      <c r="D59" s="130"/>
      <c r="E59" s="130"/>
      <c r="F59" s="130"/>
      <c r="G59" s="130"/>
      <c r="H59" s="125" t="s">
        <v>905</v>
      </c>
      <c r="I59" s="125"/>
      <c r="J59" s="131" t="s">
        <v>904</v>
      </c>
      <c r="K59" s="131"/>
    </row>
    <row r="60" spans="1:11" ht="27" customHeight="1">
      <c r="A60" s="106"/>
      <c r="B60" s="127" t="s">
        <v>929</v>
      </c>
      <c r="C60" s="127"/>
      <c r="D60" s="127"/>
      <c r="E60" s="127"/>
      <c r="F60" s="127"/>
      <c r="G60" s="127"/>
      <c r="H60" s="127"/>
      <c r="I60" s="127"/>
      <c r="J60" s="127"/>
      <c r="K60" s="127"/>
    </row>
    <row r="61" spans="1:11" ht="24" customHeight="1">
      <c r="A61" s="108"/>
      <c r="B61" s="126" t="s">
        <v>921</v>
      </c>
      <c r="C61" s="126"/>
      <c r="D61" s="126"/>
      <c r="E61" s="126"/>
      <c r="F61" s="126"/>
      <c r="G61" s="126"/>
      <c r="H61" s="126"/>
      <c r="I61" s="126"/>
      <c r="J61" s="126"/>
      <c r="K61" s="126"/>
    </row>
    <row r="62" spans="1:11" ht="92.1" customHeight="1">
      <c r="A62" s="106"/>
      <c r="B62" s="127" t="s">
        <v>928</v>
      </c>
      <c r="C62" s="127"/>
      <c r="D62" s="127"/>
      <c r="E62" s="127"/>
      <c r="F62" s="127"/>
      <c r="G62" s="127"/>
      <c r="H62" s="127"/>
      <c r="I62" s="127"/>
      <c r="J62" s="127"/>
      <c r="K62" s="127"/>
    </row>
    <row r="63" spans="1:11" ht="44.1" customHeight="1">
      <c r="A63" s="106"/>
      <c r="B63" s="127" t="s">
        <v>927</v>
      </c>
      <c r="C63" s="127"/>
      <c r="D63" s="127"/>
      <c r="E63" s="127"/>
      <c r="F63" s="127"/>
      <c r="G63" s="127"/>
      <c r="H63" s="127"/>
      <c r="I63" s="127"/>
      <c r="J63" s="127"/>
      <c r="K63" s="127"/>
    </row>
    <row r="64" spans="1:11" ht="43.5" customHeight="1">
      <c r="A64" s="106"/>
      <c r="B64" s="127" t="s">
        <v>926</v>
      </c>
      <c r="C64" s="127"/>
      <c r="D64" s="127"/>
      <c r="E64" s="127"/>
      <c r="F64" s="127"/>
      <c r="G64" s="127"/>
      <c r="H64" s="127"/>
      <c r="I64" s="127"/>
      <c r="J64" s="127"/>
      <c r="K64" s="127"/>
    </row>
    <row r="65" spans="1:11" ht="24" customHeight="1">
      <c r="A65" s="108"/>
      <c r="B65" s="126" t="s">
        <v>925</v>
      </c>
      <c r="C65" s="126"/>
      <c r="D65" s="126"/>
      <c r="E65" s="126"/>
      <c r="F65" s="126"/>
      <c r="G65" s="126"/>
      <c r="H65" s="126"/>
      <c r="I65" s="126"/>
      <c r="J65" s="126"/>
      <c r="K65" s="126"/>
    </row>
    <row r="66" spans="1:11" ht="29.1" customHeight="1">
      <c r="A66" s="106"/>
      <c r="B66" s="127" t="s">
        <v>924</v>
      </c>
      <c r="C66" s="127"/>
      <c r="D66" s="127"/>
      <c r="E66" s="127"/>
      <c r="F66" s="127"/>
      <c r="G66" s="127"/>
      <c r="H66" s="127"/>
      <c r="I66" s="127"/>
      <c r="J66" s="127"/>
      <c r="K66" s="127"/>
    </row>
    <row r="67" spans="1:11" ht="9" customHeight="1">
      <c r="A67" s="105"/>
      <c r="B67" s="105"/>
      <c r="C67" s="105"/>
      <c r="D67" s="105"/>
      <c r="E67" s="105"/>
      <c r="F67" s="105"/>
      <c r="G67" s="105"/>
      <c r="H67" s="105"/>
      <c r="I67" s="105"/>
      <c r="J67" s="105"/>
      <c r="K67" s="105"/>
    </row>
    <row r="68" spans="1:11" ht="24.95" customHeight="1">
      <c r="A68" s="108"/>
      <c r="B68" s="130" t="s">
        <v>923</v>
      </c>
      <c r="C68" s="130"/>
      <c r="D68" s="130"/>
      <c r="E68" s="130"/>
      <c r="F68" s="130"/>
      <c r="G68" s="130"/>
      <c r="H68" s="125" t="s">
        <v>905</v>
      </c>
      <c r="I68" s="125"/>
      <c r="J68" s="131" t="s">
        <v>904</v>
      </c>
      <c r="K68" s="131"/>
    </row>
    <row r="69" spans="1:11" ht="29.1" customHeight="1">
      <c r="A69" s="106"/>
      <c r="B69" s="127" t="s">
        <v>922</v>
      </c>
      <c r="C69" s="127"/>
      <c r="D69" s="127"/>
      <c r="E69" s="127"/>
      <c r="F69" s="127"/>
      <c r="G69" s="127"/>
      <c r="H69" s="127"/>
      <c r="I69" s="127"/>
      <c r="J69" s="127"/>
      <c r="K69" s="127"/>
    </row>
    <row r="70" spans="1:11" ht="24" customHeight="1">
      <c r="A70" s="108"/>
      <c r="B70" s="126" t="s">
        <v>921</v>
      </c>
      <c r="C70" s="126"/>
      <c r="D70" s="126"/>
      <c r="E70" s="126"/>
      <c r="F70" s="126"/>
      <c r="G70" s="126"/>
      <c r="H70" s="126"/>
      <c r="I70" s="126"/>
      <c r="J70" s="126"/>
      <c r="K70" s="126"/>
    </row>
    <row r="71" spans="1:11" ht="123" customHeight="1">
      <c r="A71" s="106"/>
      <c r="B71" s="127" t="s">
        <v>920</v>
      </c>
      <c r="C71" s="127"/>
      <c r="D71" s="127"/>
      <c r="E71" s="127"/>
      <c r="F71" s="127"/>
      <c r="G71" s="127"/>
      <c r="H71" s="127"/>
      <c r="I71" s="127"/>
      <c r="J71" s="127"/>
      <c r="K71" s="127"/>
    </row>
    <row r="72" spans="1:11" ht="24" customHeight="1">
      <c r="A72" s="108"/>
      <c r="B72" s="107" t="s">
        <v>919</v>
      </c>
      <c r="C72" s="107"/>
      <c r="D72" s="107"/>
      <c r="E72" s="107"/>
      <c r="F72" s="107"/>
      <c r="G72" s="107"/>
      <c r="H72" s="107"/>
      <c r="I72" s="107"/>
      <c r="J72" s="107"/>
      <c r="K72" s="107"/>
    </row>
    <row r="73" spans="1:11" ht="78" customHeight="1">
      <c r="A73" s="106"/>
      <c r="B73" s="127" t="s">
        <v>918</v>
      </c>
      <c r="C73" s="132"/>
      <c r="D73" s="132"/>
      <c r="E73" s="132"/>
      <c r="F73" s="132"/>
      <c r="G73" s="132"/>
      <c r="H73" s="132"/>
      <c r="I73" s="132"/>
      <c r="J73" s="132"/>
      <c r="K73" s="132"/>
    </row>
    <row r="74" spans="1:11" ht="9" customHeight="1">
      <c r="A74" s="105"/>
      <c r="B74" s="105"/>
      <c r="C74" s="105"/>
      <c r="D74" s="105"/>
      <c r="E74" s="105"/>
      <c r="F74" s="105"/>
      <c r="G74" s="105"/>
      <c r="H74" s="105"/>
      <c r="I74" s="105"/>
      <c r="J74" s="105"/>
      <c r="K74" s="105"/>
    </row>
    <row r="75" spans="1:11" ht="24.95" customHeight="1">
      <c r="A75" s="108"/>
      <c r="B75" s="130" t="s">
        <v>917</v>
      </c>
      <c r="C75" s="130"/>
      <c r="D75" s="130"/>
      <c r="E75" s="130"/>
      <c r="F75" s="130"/>
      <c r="G75" s="130"/>
      <c r="H75" s="125" t="s">
        <v>905</v>
      </c>
      <c r="I75" s="125"/>
      <c r="J75" s="131" t="s">
        <v>904</v>
      </c>
      <c r="K75" s="131"/>
    </row>
    <row r="76" spans="1:11" ht="24" customHeight="1">
      <c r="A76" s="108"/>
      <c r="B76" s="126" t="s">
        <v>903</v>
      </c>
      <c r="C76" s="126"/>
      <c r="D76" s="126"/>
      <c r="E76" s="126"/>
      <c r="F76" s="126"/>
      <c r="G76" s="126"/>
      <c r="H76" s="126"/>
      <c r="I76" s="126"/>
      <c r="J76" s="126"/>
      <c r="K76" s="126"/>
    </row>
    <row r="77" spans="1:11" ht="127.5" customHeight="1">
      <c r="A77" s="106"/>
      <c r="B77" s="127" t="s">
        <v>916</v>
      </c>
      <c r="C77" s="127"/>
      <c r="D77" s="127"/>
      <c r="E77" s="127"/>
      <c r="F77" s="127"/>
      <c r="G77" s="127"/>
      <c r="H77" s="127"/>
      <c r="I77" s="127"/>
      <c r="J77" s="127"/>
      <c r="K77" s="127"/>
    </row>
    <row r="78" spans="1:11" ht="24" customHeight="1">
      <c r="A78" s="108"/>
      <c r="B78" s="126" t="s">
        <v>912</v>
      </c>
      <c r="C78" s="126"/>
      <c r="D78" s="126"/>
      <c r="E78" s="126"/>
      <c r="F78" s="126"/>
      <c r="G78" s="126"/>
      <c r="H78" s="126"/>
      <c r="I78" s="126"/>
      <c r="J78" s="126"/>
      <c r="K78" s="126"/>
    </row>
    <row r="79" spans="1:11" ht="142.5" customHeight="1">
      <c r="A79" s="106"/>
      <c r="B79" s="127" t="s">
        <v>915</v>
      </c>
      <c r="C79" s="127"/>
      <c r="D79" s="127"/>
      <c r="E79" s="127"/>
      <c r="F79" s="127"/>
      <c r="G79" s="127"/>
      <c r="H79" s="127"/>
      <c r="I79" s="127"/>
      <c r="J79" s="127"/>
      <c r="K79" s="127"/>
    </row>
    <row r="80" spans="1:11" ht="9" customHeight="1">
      <c r="A80" s="105"/>
      <c r="B80" s="105"/>
      <c r="C80" s="105"/>
      <c r="D80" s="105"/>
      <c r="E80" s="105"/>
      <c r="F80" s="105"/>
      <c r="G80" s="105"/>
      <c r="H80" s="105"/>
      <c r="I80" s="105"/>
      <c r="J80" s="105"/>
      <c r="K80" s="105"/>
    </row>
    <row r="81" spans="1:11" ht="24.95" customHeight="1">
      <c r="A81" s="108"/>
      <c r="B81" s="130" t="s">
        <v>914</v>
      </c>
      <c r="C81" s="130"/>
      <c r="D81" s="130"/>
      <c r="E81" s="130"/>
      <c r="F81" s="130"/>
      <c r="G81" s="130"/>
      <c r="H81" s="125" t="s">
        <v>905</v>
      </c>
      <c r="I81" s="125"/>
      <c r="J81" s="131" t="s">
        <v>904</v>
      </c>
      <c r="K81" s="131"/>
    </row>
    <row r="82" spans="1:11" ht="182.25" customHeight="1">
      <c r="A82" s="106"/>
      <c r="B82" s="127" t="s">
        <v>913</v>
      </c>
      <c r="C82" s="127"/>
      <c r="D82" s="127"/>
      <c r="E82" s="127"/>
      <c r="F82" s="127"/>
      <c r="G82" s="127"/>
      <c r="H82" s="127"/>
      <c r="I82" s="127"/>
      <c r="J82" s="127"/>
      <c r="K82" s="127"/>
    </row>
    <row r="83" spans="1:11" ht="24" customHeight="1">
      <c r="A83" s="108"/>
      <c r="B83" s="126" t="s">
        <v>912</v>
      </c>
      <c r="C83" s="126"/>
      <c r="D83" s="126"/>
      <c r="E83" s="126"/>
      <c r="F83" s="126"/>
      <c r="G83" s="126"/>
      <c r="H83" s="126"/>
      <c r="I83" s="126"/>
      <c r="J83" s="126"/>
      <c r="K83" s="126"/>
    </row>
    <row r="84" spans="1:11" ht="101.25" customHeight="1">
      <c r="A84" s="106"/>
      <c r="B84" s="127" t="s">
        <v>911</v>
      </c>
      <c r="C84" s="127"/>
      <c r="D84" s="127"/>
      <c r="E84" s="127"/>
      <c r="F84" s="127"/>
      <c r="G84" s="127"/>
      <c r="H84" s="127"/>
      <c r="I84" s="127"/>
      <c r="J84" s="127"/>
      <c r="K84" s="127"/>
    </row>
    <row r="85" spans="1:11" ht="9" customHeight="1">
      <c r="A85" s="105"/>
      <c r="B85" s="105"/>
      <c r="C85" s="105"/>
      <c r="D85" s="105"/>
      <c r="E85" s="105"/>
      <c r="F85" s="105"/>
      <c r="G85" s="105"/>
      <c r="H85" s="105"/>
      <c r="I85" s="105"/>
      <c r="J85" s="105"/>
      <c r="K85" s="105"/>
    </row>
    <row r="86" spans="1:11" ht="24.95" customHeight="1">
      <c r="A86" s="108"/>
      <c r="B86" s="130" t="s">
        <v>910</v>
      </c>
      <c r="C86" s="130"/>
      <c r="D86" s="130"/>
      <c r="E86" s="130"/>
      <c r="F86" s="130"/>
      <c r="G86" s="130"/>
      <c r="H86" s="125" t="s">
        <v>905</v>
      </c>
      <c r="I86" s="125"/>
      <c r="J86" s="131" t="s">
        <v>904</v>
      </c>
      <c r="K86" s="131"/>
    </row>
    <row r="87" spans="1:11" ht="24" customHeight="1">
      <c r="A87" s="108"/>
      <c r="B87" s="126" t="s">
        <v>903</v>
      </c>
      <c r="C87" s="126"/>
      <c r="D87" s="126"/>
      <c r="E87" s="126"/>
      <c r="F87" s="126"/>
      <c r="G87" s="126"/>
      <c r="H87" s="126"/>
      <c r="I87" s="126"/>
      <c r="J87" s="126"/>
      <c r="K87" s="126"/>
    </row>
    <row r="88" spans="1:11" ht="92.1" customHeight="1">
      <c r="A88" s="106"/>
      <c r="B88" s="127" t="s">
        <v>909</v>
      </c>
      <c r="C88" s="127"/>
      <c r="D88" s="127"/>
      <c r="E88" s="127"/>
      <c r="F88" s="127"/>
      <c r="G88" s="127"/>
      <c r="H88" s="127"/>
      <c r="I88" s="127"/>
      <c r="J88" s="127"/>
      <c r="K88" s="127"/>
    </row>
    <row r="89" spans="1:11" ht="24" customHeight="1">
      <c r="A89" s="108"/>
      <c r="B89" s="126" t="s">
        <v>908</v>
      </c>
      <c r="C89" s="126"/>
      <c r="D89" s="126"/>
      <c r="E89" s="126"/>
      <c r="F89" s="126"/>
      <c r="G89" s="126"/>
      <c r="H89" s="126"/>
      <c r="I89" s="126"/>
      <c r="J89" s="126"/>
      <c r="K89" s="126"/>
    </row>
    <row r="90" spans="1:11" ht="44.1" customHeight="1">
      <c r="A90" s="106"/>
      <c r="B90" s="127" t="s">
        <v>907</v>
      </c>
      <c r="C90" s="127"/>
      <c r="D90" s="127"/>
      <c r="E90" s="127"/>
      <c r="F90" s="127"/>
      <c r="G90" s="127"/>
      <c r="H90" s="127"/>
      <c r="I90" s="127"/>
      <c r="J90" s="127"/>
      <c r="K90" s="127"/>
    </row>
    <row r="91" spans="1:11" ht="9" customHeight="1">
      <c r="A91" s="105"/>
      <c r="B91" s="105"/>
      <c r="C91" s="105"/>
      <c r="D91" s="105"/>
      <c r="E91" s="105"/>
      <c r="F91" s="105"/>
      <c r="G91" s="105"/>
      <c r="H91" s="105"/>
      <c r="I91" s="105"/>
      <c r="J91" s="105"/>
      <c r="K91" s="105"/>
    </row>
    <row r="92" spans="1:11" ht="24.95" customHeight="1">
      <c r="A92" s="108"/>
      <c r="B92" s="130" t="s">
        <v>906</v>
      </c>
      <c r="C92" s="130"/>
      <c r="D92" s="130"/>
      <c r="E92" s="130"/>
      <c r="F92" s="130"/>
      <c r="G92" s="130"/>
      <c r="H92" s="125" t="s">
        <v>905</v>
      </c>
      <c r="I92" s="125"/>
      <c r="J92" s="131" t="s">
        <v>904</v>
      </c>
      <c r="K92" s="131"/>
    </row>
    <row r="93" spans="1:11" ht="24" customHeight="1">
      <c r="A93" s="108"/>
      <c r="B93" s="126" t="s">
        <v>903</v>
      </c>
      <c r="C93" s="126"/>
      <c r="D93" s="126"/>
      <c r="E93" s="126"/>
      <c r="F93" s="126"/>
      <c r="G93" s="126"/>
      <c r="H93" s="126"/>
      <c r="I93" s="126"/>
      <c r="J93" s="126"/>
      <c r="K93" s="126"/>
    </row>
    <row r="94" spans="1:11" ht="141.75" customHeight="1">
      <c r="A94" s="106"/>
      <c r="B94" s="127" t="s">
        <v>902</v>
      </c>
      <c r="C94" s="127"/>
      <c r="D94" s="127"/>
      <c r="E94" s="127"/>
      <c r="F94" s="127"/>
      <c r="G94" s="127"/>
      <c r="H94" s="127"/>
      <c r="I94" s="127"/>
      <c r="J94" s="127"/>
      <c r="K94" s="127"/>
    </row>
    <row r="95" spans="1:11" ht="24" customHeight="1">
      <c r="A95" s="108"/>
      <c r="B95" s="126" t="s">
        <v>901</v>
      </c>
      <c r="C95" s="126"/>
      <c r="D95" s="126"/>
      <c r="E95" s="126"/>
      <c r="F95" s="126"/>
      <c r="G95" s="126"/>
      <c r="H95" s="126"/>
      <c r="I95" s="126"/>
      <c r="J95" s="126"/>
      <c r="K95" s="126"/>
    </row>
    <row r="96" spans="1:11" ht="92.1" customHeight="1">
      <c r="A96" s="106"/>
      <c r="B96" s="127" t="s">
        <v>900</v>
      </c>
      <c r="C96" s="127"/>
      <c r="D96" s="127"/>
      <c r="E96" s="127"/>
      <c r="F96" s="127"/>
      <c r="G96" s="127"/>
      <c r="H96" s="127"/>
      <c r="I96" s="127"/>
      <c r="J96" s="127"/>
      <c r="K96" s="127"/>
    </row>
    <row r="97" spans="1:11" ht="44.1" customHeight="1">
      <c r="A97" s="106"/>
      <c r="B97" s="127" t="s">
        <v>899</v>
      </c>
      <c r="C97" s="127"/>
      <c r="D97" s="127"/>
      <c r="E97" s="127"/>
      <c r="F97" s="127"/>
      <c r="G97" s="127"/>
      <c r="H97" s="127"/>
      <c r="I97" s="127"/>
      <c r="J97" s="127"/>
      <c r="K97" s="127"/>
    </row>
    <row r="98" spans="1:11" ht="9" customHeight="1">
      <c r="A98" s="105"/>
      <c r="B98" s="105"/>
      <c r="C98" s="105"/>
      <c r="D98" s="105"/>
      <c r="E98" s="105"/>
      <c r="F98" s="105"/>
      <c r="G98" s="105"/>
      <c r="H98" s="105"/>
      <c r="I98" s="105"/>
      <c r="J98" s="105"/>
      <c r="K98" s="105"/>
    </row>
    <row r="99" spans="1:11" ht="24.95" customHeight="1">
      <c r="A99" s="108"/>
      <c r="B99" s="130" t="s">
        <v>962</v>
      </c>
      <c r="C99" s="130"/>
      <c r="D99" s="130"/>
      <c r="E99" s="130"/>
      <c r="F99" s="130"/>
      <c r="G99" s="130"/>
      <c r="H99" s="125"/>
      <c r="I99" s="125"/>
      <c r="J99" s="131" t="s">
        <v>904</v>
      </c>
      <c r="K99" s="131"/>
    </row>
    <row r="100" spans="1:11" ht="24" customHeight="1">
      <c r="A100" s="108"/>
      <c r="B100" s="126" t="s">
        <v>963</v>
      </c>
      <c r="C100" s="126"/>
      <c r="D100" s="126"/>
      <c r="E100" s="126"/>
      <c r="F100" s="126"/>
      <c r="G100" s="126"/>
      <c r="H100" s="126"/>
      <c r="I100" s="126"/>
      <c r="J100" s="126"/>
      <c r="K100" s="126"/>
    </row>
    <row r="101" spans="1:11" ht="159.75" customHeight="1">
      <c r="A101" s="106"/>
      <c r="B101" s="127" t="s">
        <v>968</v>
      </c>
      <c r="C101" s="127"/>
      <c r="D101" s="127"/>
      <c r="E101" s="127"/>
      <c r="F101" s="127"/>
      <c r="G101" s="127"/>
      <c r="H101" s="127"/>
      <c r="I101" s="127"/>
      <c r="J101" s="127"/>
      <c r="K101" s="127"/>
    </row>
    <row r="102" spans="1:11" ht="24" customHeight="1">
      <c r="A102" s="108"/>
      <c r="B102" s="126" t="s">
        <v>964</v>
      </c>
      <c r="C102" s="126"/>
      <c r="D102" s="126"/>
      <c r="E102" s="126"/>
      <c r="F102" s="126"/>
      <c r="G102" s="126"/>
      <c r="H102" s="126"/>
      <c r="I102" s="126"/>
      <c r="J102" s="126"/>
      <c r="K102" s="126"/>
    </row>
    <row r="103" spans="1:11" ht="153.75" customHeight="1">
      <c r="A103" s="106"/>
      <c r="B103" s="127" t="s">
        <v>967</v>
      </c>
      <c r="C103" s="127"/>
      <c r="D103" s="127"/>
      <c r="E103" s="127"/>
      <c r="F103" s="127"/>
      <c r="G103" s="127"/>
      <c r="H103" s="127"/>
      <c r="I103" s="127"/>
      <c r="J103" s="127"/>
      <c r="K103" s="127"/>
    </row>
    <row r="104" spans="1:11" ht="24" customHeight="1">
      <c r="A104" s="108"/>
      <c r="B104" s="126" t="s">
        <v>965</v>
      </c>
      <c r="C104" s="126"/>
      <c r="D104" s="126"/>
      <c r="E104" s="126"/>
      <c r="F104" s="126"/>
      <c r="G104" s="126"/>
      <c r="H104" s="126"/>
      <c r="I104" s="126"/>
      <c r="J104" s="126"/>
      <c r="K104" s="126"/>
    </row>
    <row r="105" spans="1:11" ht="163.5" customHeight="1">
      <c r="A105" s="106"/>
      <c r="B105" s="127" t="s">
        <v>966</v>
      </c>
      <c r="C105" s="127"/>
      <c r="D105" s="127"/>
      <c r="E105" s="127"/>
      <c r="F105" s="127"/>
      <c r="G105" s="127"/>
      <c r="H105" s="127"/>
      <c r="I105" s="127"/>
      <c r="J105" s="127"/>
      <c r="K105" s="127"/>
    </row>
  </sheetData>
  <mergeCells count="116">
    <mergeCell ref="B99:G99"/>
    <mergeCell ref="H99:I99"/>
    <mergeCell ref="J99:K99"/>
    <mergeCell ref="B101:K101"/>
    <mergeCell ref="B102:K102"/>
    <mergeCell ref="B100:K100"/>
    <mergeCell ref="B104:K104"/>
    <mergeCell ref="B103:K103"/>
    <mergeCell ref="B105:K105"/>
    <mergeCell ref="B97:K97"/>
    <mergeCell ref="B92:G92"/>
    <mergeCell ref="H92:I92"/>
    <mergeCell ref="J92:K92"/>
    <mergeCell ref="B93:K93"/>
    <mergeCell ref="B87:K87"/>
    <mergeCell ref="B88:K88"/>
    <mergeCell ref="B89:K89"/>
    <mergeCell ref="B90:K90"/>
    <mergeCell ref="B95:K95"/>
    <mergeCell ref="B94:K94"/>
    <mergeCell ref="B96:K96"/>
    <mergeCell ref="B76:K76"/>
    <mergeCell ref="B69:K69"/>
    <mergeCell ref="B70:K70"/>
    <mergeCell ref="B71:K71"/>
    <mergeCell ref="J86:K86"/>
    <mergeCell ref="B77:K77"/>
    <mergeCell ref="B79:K79"/>
    <mergeCell ref="B81:G81"/>
    <mergeCell ref="H81:I81"/>
    <mergeCell ref="J81:K81"/>
    <mergeCell ref="B73:K73"/>
    <mergeCell ref="B78:K78"/>
    <mergeCell ref="B83:K83"/>
    <mergeCell ref="B82:K82"/>
    <mergeCell ref="B84:K84"/>
    <mergeCell ref="B86:G86"/>
    <mergeCell ref="H86:I86"/>
    <mergeCell ref="B66:K66"/>
    <mergeCell ref="B68:G68"/>
    <mergeCell ref="H68:I68"/>
    <mergeCell ref="J68:K68"/>
    <mergeCell ref="B61:K61"/>
    <mergeCell ref="B62:K62"/>
    <mergeCell ref="B63:K63"/>
    <mergeCell ref="B64:K64"/>
    <mergeCell ref="B75:G75"/>
    <mergeCell ref="H75:I75"/>
    <mergeCell ref="J75:K75"/>
    <mergeCell ref="B59:G59"/>
    <mergeCell ref="H59:I59"/>
    <mergeCell ref="J59:K59"/>
    <mergeCell ref="B60:K60"/>
    <mergeCell ref="B54:K54"/>
    <mergeCell ref="B55:K55"/>
    <mergeCell ref="B56:K56"/>
    <mergeCell ref="B57:K57"/>
    <mergeCell ref="B65:K65"/>
    <mergeCell ref="B44:K44"/>
    <mergeCell ref="B45:K45"/>
    <mergeCell ref="B46:K46"/>
    <mergeCell ref="B48:G48"/>
    <mergeCell ref="H48:I48"/>
    <mergeCell ref="J48:K48"/>
    <mergeCell ref="B53:G53"/>
    <mergeCell ref="H53:I53"/>
    <mergeCell ref="J53:K53"/>
    <mergeCell ref="B49:K49"/>
    <mergeCell ref="B50:K50"/>
    <mergeCell ref="B51:K51"/>
    <mergeCell ref="B40:K40"/>
    <mergeCell ref="B41:K41"/>
    <mergeCell ref="B43:G43"/>
    <mergeCell ref="H43:I43"/>
    <mergeCell ref="J43:K43"/>
    <mergeCell ref="B35:D35"/>
    <mergeCell ref="B36:E36"/>
    <mergeCell ref="H35:J35"/>
    <mergeCell ref="H36:K36"/>
    <mergeCell ref="B39:G39"/>
    <mergeCell ref="H39:I39"/>
    <mergeCell ref="J39:K39"/>
    <mergeCell ref="B30:E30"/>
    <mergeCell ref="H29:J29"/>
    <mergeCell ref="H30:K30"/>
    <mergeCell ref="B32:D32"/>
    <mergeCell ref="B33:E33"/>
    <mergeCell ref="H32:J32"/>
    <mergeCell ref="H33:K33"/>
    <mergeCell ref="B27:E27"/>
    <mergeCell ref="H26:J26"/>
    <mergeCell ref="H27:K27"/>
    <mergeCell ref="B29:D29"/>
    <mergeCell ref="A2:K3"/>
    <mergeCell ref="B5:H5"/>
    <mergeCell ref="I5:J5"/>
    <mergeCell ref="B6:K6"/>
    <mergeCell ref="B12:K12"/>
    <mergeCell ref="B13:K13"/>
    <mergeCell ref="B14:K14"/>
    <mergeCell ref="B15:K15"/>
    <mergeCell ref="B26:D26"/>
    <mergeCell ref="B7:K7"/>
    <mergeCell ref="B8:K8"/>
    <mergeCell ref="B9:K9"/>
    <mergeCell ref="B10:K10"/>
    <mergeCell ref="B11:K11"/>
    <mergeCell ref="B21:K21"/>
    <mergeCell ref="B23:D23"/>
    <mergeCell ref="B24:E24"/>
    <mergeCell ref="H23:J23"/>
    <mergeCell ref="H24:K24"/>
    <mergeCell ref="B16:K16"/>
    <mergeCell ref="B17:K17"/>
    <mergeCell ref="B18:K18"/>
    <mergeCell ref="B19:K19"/>
  </mergeCells>
  <hyperlinks>
    <hyperlink ref="I5" r:id="rId1" xr:uid="{BABD6F75-D47D-4FC4-B0FD-0491AF660475}"/>
    <hyperlink ref="E23" r:id="rId2" xr:uid="{5CAFD3A0-D604-441E-9BBF-4CB6A7E4DEDF}"/>
    <hyperlink ref="K23" r:id="rId3" xr:uid="{2C622A98-3465-40E7-88EC-DAE710981033}"/>
    <hyperlink ref="E26" r:id="rId4" xr:uid="{DC737932-BF79-430B-A7D6-9E162483EB14}"/>
    <hyperlink ref="K26" r:id="rId5" xr:uid="{28E682F0-44E4-446F-8936-CDFF67E1649D}"/>
    <hyperlink ref="E29" r:id="rId6" xr:uid="{3B716717-1E74-45D0-BB31-FDD28E41B31A}"/>
    <hyperlink ref="K29" r:id="rId7" xr:uid="{3A672180-54CD-4329-82E7-B202FE732386}"/>
    <hyperlink ref="E32" r:id="rId8" xr:uid="{07B93D46-0753-44B3-B1A2-418722B74932}"/>
    <hyperlink ref="K32" r:id="rId9" xr:uid="{D640EAC7-9AB4-4F21-9A19-1E73C1396815}"/>
    <hyperlink ref="E35" r:id="rId10" xr:uid="{8C5CBAF6-5D68-4838-A480-19CED013D543}"/>
    <hyperlink ref="K35" r:id="rId11" xr:uid="{54516E72-CBFC-42AF-B466-738E3E95C0CE}"/>
    <hyperlink ref="H39" r:id="rId12" xr:uid="{CA66601A-73A9-4BE5-88DB-7C0CFA072DC9}"/>
    <hyperlink ref="H43" r:id="rId13" xr:uid="{E1641F3B-01E2-4503-90AE-867E9F4B8FD1}"/>
    <hyperlink ref="H48" r:id="rId14" xr:uid="{93CE3BFB-3D37-4F30-A93A-B9E32B90B9BF}"/>
    <hyperlink ref="H53" r:id="rId15" xr:uid="{1CF5B7B3-FCD8-4778-9829-AF7FF333968F}"/>
    <hyperlink ref="H59" r:id="rId16" xr:uid="{5639B2C6-7B3D-434D-8957-69B4E431FCB6}"/>
    <hyperlink ref="H68" r:id="rId17" xr:uid="{0AFEA76E-F743-46D6-9FC9-B6CDF03EB410}"/>
    <hyperlink ref="H75" r:id="rId18" xr:uid="{2B47E480-6C03-4AA4-8C8C-04F9C4EE8899}"/>
    <hyperlink ref="H81" r:id="rId19" xr:uid="{21D802DA-186C-4BD0-BAF1-F38769958891}"/>
    <hyperlink ref="H86" r:id="rId20" xr:uid="{DB3F99D3-5C86-4AC7-961A-655F79BFCCDA}"/>
    <hyperlink ref="H92" r:id="rId21" xr:uid="{65945A96-0630-4786-9D8B-4BB35F79E40D}"/>
    <hyperlink ref="B24" location="'Лист1'!B45" display="Открыть текст ↓" xr:uid="{7562B1A7-6C02-462C-B15B-1CE3B4BEDA76}"/>
    <hyperlink ref="J39" location="'Лист1'!B27" display="↑ к списку" xr:uid="{5A5A66B1-D829-4E9E-BDEF-87E6EC3C0FC9}"/>
    <hyperlink ref="H24" location="'Лист1'!B51" display="Открыть текст ↓" xr:uid="{28186F65-67ED-4306-B83F-D8209888B5A9}"/>
    <hyperlink ref="J43" location="'Лист1'!B27" display="↑ к списку" xr:uid="{305F6A82-5E9E-4C03-AE86-0C2DB1C90B26}"/>
    <hyperlink ref="B27" location="'Лист1'!B57" display="Открыть текст ↓" xr:uid="{CFD1C92E-D34E-470F-8AC7-A07FD48B5533}"/>
    <hyperlink ref="J48" location="'Лист1'!B27" display="↑ к списку" xr:uid="{8A9E635D-C3EE-49D8-9E1C-D6718ADB941B}"/>
    <hyperlink ref="H27" location="'Лист1'!B65" display="Открыть текст ↓" xr:uid="{D1CB2BEC-0618-4FDA-9029-78F46F641B2B}"/>
    <hyperlink ref="J53" location="'Лист1'!B27" display="↑ к списку" xr:uid="{818D0C42-0FE5-4368-B59F-EF08E3F041C5}"/>
    <hyperlink ref="B30" location="'Лист1'!B73" display="Открыть текст ↓" xr:uid="{C0247BB0-8D78-48B6-983B-0E2ADE526CDD}"/>
    <hyperlink ref="J59" location="'Лист1'!B27" display="↑ к списку" xr:uid="{7FBE1197-2FBD-4B5C-B36F-B5E0D6859EEE}"/>
    <hyperlink ref="H30" location="'Лист1'!B85" display="Открыть текст ↓" xr:uid="{3AB8E1B4-1584-4005-87BE-03122B44F81F}"/>
    <hyperlink ref="J68" location="'Лист1'!B27" display="↑ к списку" xr:uid="{D6F92DFD-4669-4FCD-9CD2-1A68E95DEEB1}"/>
    <hyperlink ref="B33" location="'Лист1'!B92" display="Открыть текст ↓" xr:uid="{9B2457E4-F83E-4F2F-9C23-9E1611E73F1A}"/>
    <hyperlink ref="J75" location="'Лист1'!B27" display="↑ к списку" xr:uid="{04B0252B-951C-46F3-B059-7B9F9AE78CE5}"/>
    <hyperlink ref="H33" location="'Лист1'!B98" display="Открыть текст ↓" xr:uid="{F695E0C0-33F7-44D6-B29C-51E1FA58446D}"/>
    <hyperlink ref="J81" location="'Лист1'!B27" display="↑ к списку" xr:uid="{5F473CE5-E75A-43B8-821F-0E6D3943A3D6}"/>
    <hyperlink ref="B36" location="'Лист1'!B103" display="Открыть текст ↓" xr:uid="{980B85DE-B2F5-4E4D-94EB-88842DB86326}"/>
    <hyperlink ref="J86" location="'Лист1'!B27" display="↑ к списку" xr:uid="{D68ECBE0-6E53-4BB7-8DBA-E19FBE66CD8B}"/>
    <hyperlink ref="H36" location="'Лист1'!B111" display="Открыть текст ↓" xr:uid="{F532C265-85F8-4ABE-B61D-D62AF995E526}"/>
    <hyperlink ref="J92" location="'Лист1'!B27" display="↑ к списку" xr:uid="{77AE5CBD-2C09-4C2E-A9F1-122CFA9F1C53}"/>
    <hyperlink ref="J99" location="'Лист1'!B27" display="↑ к списку" xr:uid="{5C2973D5-B88F-4964-94D6-506347EAB395}"/>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CB8029-95C1-44FC-B370-F5FBCB7F59A3}">
  <sheetPr codeName="Лист1"/>
  <dimension ref="A1:AE16"/>
  <sheetViews>
    <sheetView zoomScale="82" zoomScaleNormal="82" workbookViewId="0">
      <selection activeCell="A12" sqref="A12"/>
    </sheetView>
  </sheetViews>
  <sheetFormatPr defaultColWidth="12.5703125" defaultRowHeight="12.75"/>
  <cols>
    <col min="1" max="2" width="28.7109375" customWidth="1"/>
    <col min="3" max="3" width="28.7109375" style="6" customWidth="1"/>
    <col min="4" max="4" width="28.7109375" customWidth="1"/>
    <col min="5" max="5" width="28.7109375" style="6" customWidth="1"/>
    <col min="6" max="6" width="28.7109375" customWidth="1"/>
    <col min="7" max="7" width="28.7109375" style="6" customWidth="1"/>
    <col min="8" max="31" width="28.7109375" customWidth="1"/>
  </cols>
  <sheetData>
    <row r="1" spans="1:31" ht="64.5" customHeight="1">
      <c r="A1" s="14" t="s">
        <v>4</v>
      </c>
      <c r="B1" s="11" t="s">
        <v>5</v>
      </c>
      <c r="C1" s="11" t="s">
        <v>2</v>
      </c>
      <c r="D1" s="11" t="s">
        <v>1</v>
      </c>
      <c r="E1" s="11" t="s">
        <v>7</v>
      </c>
      <c r="F1" s="11" t="s">
        <v>644</v>
      </c>
      <c r="G1" s="11" t="s">
        <v>643</v>
      </c>
      <c r="H1" s="11" t="s">
        <v>9</v>
      </c>
      <c r="I1" s="11" t="s">
        <v>10</v>
      </c>
      <c r="J1" s="11" t="s">
        <v>642</v>
      </c>
      <c r="K1" s="11" t="s">
        <v>641</v>
      </c>
      <c r="L1" s="11" t="s">
        <v>640</v>
      </c>
      <c r="M1" s="11" t="s">
        <v>639</v>
      </c>
      <c r="N1" s="11" t="s">
        <v>15</v>
      </c>
      <c r="O1" s="11" t="s">
        <v>16</v>
      </c>
      <c r="P1" s="11" t="s">
        <v>638</v>
      </c>
      <c r="Q1" s="11" t="s">
        <v>637</v>
      </c>
      <c r="R1" s="11" t="s">
        <v>617</v>
      </c>
      <c r="S1" s="11" t="s">
        <v>636</v>
      </c>
      <c r="T1" s="11" t="s">
        <v>21</v>
      </c>
      <c r="U1" s="11" t="s">
        <v>22</v>
      </c>
      <c r="V1" s="11" t="s">
        <v>635</v>
      </c>
      <c r="W1" s="11" t="s">
        <v>634</v>
      </c>
      <c r="X1" s="11" t="s">
        <v>633</v>
      </c>
      <c r="Y1" s="11" t="s">
        <v>632</v>
      </c>
      <c r="Z1" s="11" t="s">
        <v>27</v>
      </c>
      <c r="AA1" s="11" t="s">
        <v>28</v>
      </c>
      <c r="AB1" s="11" t="s">
        <v>631</v>
      </c>
      <c r="AC1" s="11" t="s">
        <v>630</v>
      </c>
      <c r="AD1" s="11" t="s">
        <v>18</v>
      </c>
      <c r="AE1" s="11" t="s">
        <v>629</v>
      </c>
    </row>
    <row r="2" spans="1:31" ht="15" customHeight="1">
      <c r="A2" s="72" t="s">
        <v>584</v>
      </c>
      <c r="B2" s="61" t="s">
        <v>3</v>
      </c>
      <c r="C2" s="67">
        <v>200781</v>
      </c>
      <c r="D2" s="65" t="s">
        <v>92</v>
      </c>
      <c r="E2" s="67">
        <v>102229</v>
      </c>
      <c r="F2" s="65" t="s">
        <v>187</v>
      </c>
      <c r="G2" s="67">
        <v>67687</v>
      </c>
      <c r="H2" s="65" t="s">
        <v>188</v>
      </c>
      <c r="I2" s="67">
        <v>97206</v>
      </c>
      <c r="J2" s="65" t="s">
        <v>219</v>
      </c>
      <c r="K2" s="67">
        <v>15881</v>
      </c>
      <c r="L2" s="65" t="s">
        <v>240</v>
      </c>
      <c r="M2" s="67">
        <v>35287</v>
      </c>
      <c r="N2" s="71" t="s">
        <v>264</v>
      </c>
      <c r="O2" s="67">
        <v>32552</v>
      </c>
      <c r="P2" s="71" t="s">
        <v>282</v>
      </c>
      <c r="Q2" s="67">
        <v>36484</v>
      </c>
      <c r="R2" s="71" t="s">
        <v>302</v>
      </c>
      <c r="S2" s="67">
        <v>10063</v>
      </c>
      <c r="T2" s="71" t="s">
        <v>312</v>
      </c>
      <c r="U2" s="67">
        <v>3427</v>
      </c>
      <c r="V2" s="71" t="s">
        <v>323</v>
      </c>
      <c r="W2" s="67">
        <v>11864</v>
      </c>
      <c r="X2" s="71" t="s">
        <v>334</v>
      </c>
      <c r="Y2" s="67">
        <v>45181</v>
      </c>
      <c r="Z2" s="71" t="s">
        <v>338</v>
      </c>
      <c r="AA2" s="67">
        <v>4309</v>
      </c>
      <c r="AB2" s="71" t="s">
        <v>344</v>
      </c>
      <c r="AC2" s="67">
        <v>38899</v>
      </c>
      <c r="AD2" s="71" t="s">
        <v>346</v>
      </c>
      <c r="AE2" s="67" t="s">
        <v>599</v>
      </c>
    </row>
    <row r="3" spans="1:31">
      <c r="A3" s="72" t="s">
        <v>585</v>
      </c>
      <c r="B3" s="63"/>
      <c r="C3" s="68"/>
      <c r="D3" s="28" t="s">
        <v>93</v>
      </c>
      <c r="E3" s="67">
        <v>100422</v>
      </c>
      <c r="F3" s="33"/>
      <c r="G3" s="67"/>
      <c r="H3" s="28" t="s">
        <v>189</v>
      </c>
      <c r="I3" s="68">
        <v>30259</v>
      </c>
      <c r="J3" s="33"/>
      <c r="K3" s="68"/>
      <c r="L3" s="28"/>
      <c r="M3" s="68"/>
      <c r="N3" s="28"/>
      <c r="O3" s="68"/>
      <c r="P3" s="34"/>
      <c r="Q3" s="69"/>
      <c r="R3" s="66"/>
      <c r="S3" s="68"/>
      <c r="T3" s="66"/>
      <c r="U3" s="68"/>
      <c r="V3" s="34"/>
      <c r="W3" s="69"/>
      <c r="X3" s="34"/>
      <c r="Y3" s="69"/>
      <c r="Z3" s="34"/>
      <c r="AA3" s="69"/>
      <c r="AB3" s="34"/>
      <c r="AC3" s="69"/>
      <c r="AD3" s="34"/>
      <c r="AE3" s="69"/>
    </row>
    <row r="4" spans="1:31">
      <c r="A4" s="72" t="s">
        <v>626</v>
      </c>
      <c r="B4" s="62"/>
      <c r="C4" s="69"/>
      <c r="D4" s="28" t="s">
        <v>94</v>
      </c>
      <c r="E4" s="67">
        <v>86885</v>
      </c>
      <c r="F4" s="28"/>
      <c r="G4" s="67"/>
      <c r="H4" s="66"/>
      <c r="I4" s="68"/>
      <c r="J4" s="66"/>
      <c r="K4" s="68"/>
      <c r="L4" s="66"/>
      <c r="M4" s="68"/>
      <c r="N4" s="66"/>
      <c r="O4" s="68"/>
      <c r="P4" s="66"/>
      <c r="Q4" s="68"/>
      <c r="R4" s="66"/>
      <c r="S4" s="68"/>
      <c r="T4" s="66"/>
      <c r="U4" s="68"/>
      <c r="V4" s="34"/>
      <c r="W4" s="69"/>
      <c r="X4" s="34"/>
      <c r="Y4" s="69"/>
      <c r="Z4" s="34"/>
      <c r="AA4" s="69"/>
      <c r="AB4" s="34"/>
      <c r="AC4" s="69"/>
      <c r="AD4" s="34"/>
      <c r="AE4" s="69"/>
    </row>
    <row r="5" spans="1:31">
      <c r="A5" s="72" t="s">
        <v>587</v>
      </c>
      <c r="B5" s="64"/>
      <c r="C5" s="68"/>
      <c r="D5" s="28"/>
      <c r="E5" s="68"/>
      <c r="F5" s="28"/>
      <c r="G5" s="67"/>
      <c r="H5" s="66"/>
      <c r="I5" s="68"/>
      <c r="J5" s="66"/>
      <c r="K5" s="68"/>
      <c r="L5" s="66"/>
      <c r="M5" s="68"/>
      <c r="N5" s="66"/>
      <c r="O5" s="68"/>
      <c r="P5" s="66"/>
      <c r="Q5" s="68"/>
      <c r="R5" s="66"/>
      <c r="S5" s="68"/>
      <c r="T5" s="66"/>
      <c r="U5" s="68"/>
      <c r="V5" s="34"/>
      <c r="W5" s="69"/>
      <c r="X5" s="34"/>
      <c r="Y5" s="69"/>
      <c r="Z5" s="34"/>
      <c r="AA5" s="69"/>
      <c r="AB5" s="34"/>
      <c r="AC5" s="69"/>
      <c r="AD5" s="34"/>
      <c r="AE5" s="69"/>
    </row>
    <row r="6" spans="1:31">
      <c r="A6" s="72" t="s">
        <v>627</v>
      </c>
      <c r="B6" s="64"/>
      <c r="C6" s="68"/>
      <c r="D6" s="28"/>
      <c r="E6" s="68"/>
      <c r="F6" s="28"/>
      <c r="G6" s="67"/>
      <c r="H6" s="66"/>
      <c r="I6" s="68"/>
      <c r="J6" s="66"/>
      <c r="K6" s="68"/>
      <c r="L6" s="66"/>
      <c r="M6" s="68"/>
      <c r="N6" s="66"/>
      <c r="O6" s="68"/>
      <c r="P6" s="66"/>
      <c r="Q6" s="68"/>
      <c r="R6" s="66"/>
      <c r="S6" s="68"/>
      <c r="T6" s="66"/>
      <c r="U6" s="68"/>
      <c r="V6" s="34"/>
      <c r="W6" s="69"/>
      <c r="X6" s="34"/>
      <c r="Y6" s="69"/>
      <c r="Z6" s="34"/>
      <c r="AA6" s="69"/>
      <c r="AB6" s="34"/>
      <c r="AC6" s="69"/>
      <c r="AD6" s="34"/>
      <c r="AE6" s="69"/>
    </row>
    <row r="7" spans="1:31">
      <c r="A7" s="72" t="s">
        <v>589</v>
      </c>
      <c r="B7" s="62"/>
      <c r="C7" s="70"/>
      <c r="D7" s="28"/>
      <c r="E7" s="68"/>
      <c r="F7" s="28"/>
      <c r="G7" s="67"/>
      <c r="H7" s="66"/>
      <c r="I7" s="68"/>
      <c r="J7" s="66"/>
      <c r="K7" s="68"/>
      <c r="L7" s="66"/>
      <c r="M7" s="68"/>
      <c r="N7" s="66"/>
      <c r="O7" s="68"/>
      <c r="P7" s="66"/>
      <c r="Q7" s="68"/>
      <c r="R7" s="66"/>
      <c r="S7" s="68"/>
      <c r="T7" s="66"/>
      <c r="U7" s="68"/>
      <c r="V7" s="34"/>
      <c r="W7" s="69"/>
      <c r="X7" s="34"/>
      <c r="Y7" s="69"/>
      <c r="Z7" s="34"/>
      <c r="AA7" s="69"/>
      <c r="AB7" s="34"/>
      <c r="AC7" s="69"/>
      <c r="AD7" s="34"/>
      <c r="AE7" s="69"/>
    </row>
    <row r="8" spans="1:31">
      <c r="A8" s="72" t="s">
        <v>590</v>
      </c>
      <c r="B8" s="62"/>
      <c r="C8" s="70"/>
      <c r="D8" s="62"/>
      <c r="E8" s="70"/>
      <c r="F8" s="62"/>
      <c r="G8" s="70"/>
      <c r="H8" s="62"/>
      <c r="I8" s="70"/>
      <c r="J8" s="66"/>
      <c r="K8" s="68"/>
      <c r="L8" s="62"/>
      <c r="M8" s="70"/>
      <c r="N8" s="62"/>
      <c r="O8" s="70"/>
      <c r="P8" s="62"/>
      <c r="Q8" s="70"/>
      <c r="R8" s="66"/>
      <c r="S8" s="68"/>
      <c r="T8" s="62"/>
      <c r="U8" s="70"/>
      <c r="V8" s="62"/>
      <c r="W8" s="70"/>
      <c r="X8" s="62"/>
      <c r="Y8" s="70"/>
      <c r="Z8" s="62"/>
      <c r="AA8" s="70"/>
      <c r="AB8" s="62"/>
      <c r="AC8" s="70"/>
      <c r="AD8" s="62"/>
      <c r="AE8" s="70"/>
    </row>
    <row r="9" spans="1:31">
      <c r="A9" s="72" t="s">
        <v>591</v>
      </c>
      <c r="B9" s="62"/>
      <c r="C9" s="70"/>
      <c r="D9" s="62"/>
      <c r="E9" s="70"/>
      <c r="F9" s="62"/>
      <c r="G9" s="70"/>
      <c r="H9" s="62"/>
      <c r="I9" s="70"/>
      <c r="J9" s="62"/>
      <c r="K9" s="70"/>
      <c r="L9" s="62"/>
      <c r="M9" s="70"/>
      <c r="N9" s="62"/>
      <c r="O9" s="70"/>
      <c r="P9" s="62"/>
      <c r="Q9" s="70"/>
      <c r="R9" s="62"/>
      <c r="S9" s="70"/>
      <c r="T9" s="62"/>
      <c r="U9" s="70"/>
      <c r="V9" s="62"/>
      <c r="W9" s="70"/>
      <c r="X9" s="62"/>
      <c r="Y9" s="70"/>
      <c r="Z9" s="62"/>
      <c r="AA9" s="70"/>
      <c r="AB9" s="62"/>
      <c r="AC9" s="70"/>
      <c r="AD9" s="62"/>
      <c r="AE9" s="89"/>
    </row>
    <row r="10" spans="1:31">
      <c r="A10" s="72" t="s">
        <v>592</v>
      </c>
      <c r="B10" s="62"/>
      <c r="C10" s="70"/>
      <c r="D10" s="62"/>
      <c r="E10" s="70"/>
      <c r="F10" s="62"/>
      <c r="G10" s="70"/>
      <c r="H10" s="62"/>
      <c r="I10" s="70"/>
      <c r="J10" s="62"/>
      <c r="K10" s="70"/>
      <c r="L10" s="62"/>
      <c r="M10" s="70"/>
      <c r="N10" s="62"/>
      <c r="O10" s="70"/>
      <c r="P10" s="62"/>
      <c r="Q10" s="70"/>
      <c r="R10" s="62"/>
      <c r="S10" s="70"/>
      <c r="T10" s="62"/>
      <c r="U10" s="70"/>
      <c r="V10" s="62"/>
      <c r="W10" s="70"/>
      <c r="X10" s="62"/>
      <c r="Y10" s="70"/>
      <c r="Z10" s="62"/>
      <c r="AA10" s="70"/>
      <c r="AB10" s="62"/>
      <c r="AC10" s="70"/>
      <c r="AD10" s="62"/>
      <c r="AE10" s="70"/>
    </row>
    <row r="11" spans="1:31">
      <c r="A11" s="72" t="s">
        <v>628</v>
      </c>
      <c r="B11" s="62"/>
      <c r="C11" s="70"/>
      <c r="D11" s="62"/>
      <c r="E11" s="70"/>
      <c r="F11" s="62"/>
      <c r="G11" s="70"/>
      <c r="H11" s="62"/>
      <c r="I11" s="70"/>
      <c r="J11" s="62"/>
      <c r="K11" s="70"/>
      <c r="L11" s="62"/>
      <c r="M11" s="70"/>
      <c r="N11" s="62"/>
      <c r="O11" s="70"/>
      <c r="P11" s="62"/>
      <c r="Q11" s="70"/>
      <c r="R11" s="62"/>
      <c r="S11" s="70"/>
      <c r="T11" s="62"/>
      <c r="U11" s="70"/>
      <c r="V11" s="62"/>
      <c r="W11" s="70"/>
      <c r="X11" s="62"/>
      <c r="Y11" s="70"/>
      <c r="Z11" s="62"/>
      <c r="AA11" s="70"/>
      <c r="AB11" s="62"/>
      <c r="AC11" s="70"/>
      <c r="AD11" s="62"/>
      <c r="AE11" s="70"/>
    </row>
    <row r="12" spans="1:31">
      <c r="A12" s="72" t="s">
        <v>594</v>
      </c>
      <c r="B12" s="62"/>
      <c r="C12" s="70"/>
      <c r="D12" s="62"/>
      <c r="E12" s="70"/>
      <c r="F12" s="62"/>
      <c r="G12" s="70"/>
      <c r="H12" s="62"/>
      <c r="I12" s="70"/>
      <c r="J12" s="62"/>
      <c r="K12" s="70"/>
      <c r="L12" s="62"/>
      <c r="M12" s="70"/>
      <c r="N12" s="62"/>
      <c r="O12" s="70"/>
      <c r="P12" s="62"/>
      <c r="Q12" s="70"/>
      <c r="R12" s="62"/>
      <c r="S12" s="70"/>
      <c r="T12" s="62"/>
      <c r="U12" s="70"/>
      <c r="V12" s="62"/>
      <c r="W12" s="70"/>
      <c r="X12" s="62"/>
      <c r="Y12" s="70"/>
      <c r="Z12" s="62"/>
      <c r="AA12" s="70"/>
      <c r="AB12" s="62"/>
      <c r="AC12" s="70"/>
      <c r="AD12" s="62"/>
      <c r="AE12" s="70"/>
    </row>
    <row r="13" spans="1:31">
      <c r="A13" s="72" t="s">
        <v>595</v>
      </c>
      <c r="B13" s="62"/>
      <c r="C13" s="70"/>
      <c r="D13" s="62"/>
      <c r="E13" s="70"/>
      <c r="F13" s="62"/>
      <c r="G13" s="70"/>
      <c r="H13" s="62"/>
      <c r="I13" s="70"/>
      <c r="J13" s="62"/>
      <c r="K13" s="70"/>
      <c r="L13" s="62"/>
      <c r="M13" s="70"/>
      <c r="N13" s="62"/>
      <c r="O13" s="70"/>
      <c r="P13" s="62"/>
      <c r="Q13" s="70"/>
      <c r="R13" s="62"/>
      <c r="S13" s="70"/>
      <c r="T13" s="62"/>
      <c r="U13" s="70"/>
      <c r="V13" s="62"/>
      <c r="W13" s="70"/>
      <c r="X13" s="62"/>
      <c r="Y13" s="70"/>
      <c r="Z13" s="62"/>
      <c r="AA13" s="70"/>
      <c r="AB13" s="62"/>
      <c r="AC13" s="70"/>
      <c r="AD13" s="62"/>
      <c r="AE13" s="70"/>
    </row>
    <row r="14" spans="1:31">
      <c r="A14" s="72" t="s">
        <v>596</v>
      </c>
      <c r="B14" s="62"/>
      <c r="C14" s="70"/>
      <c r="D14" s="62"/>
      <c r="E14" s="70"/>
      <c r="F14" s="62"/>
      <c r="G14" s="70"/>
      <c r="H14" s="62"/>
      <c r="I14" s="70"/>
      <c r="J14" s="62"/>
      <c r="K14" s="70"/>
      <c r="L14" s="62"/>
      <c r="M14" s="70"/>
      <c r="N14" s="62"/>
      <c r="O14" s="70"/>
      <c r="P14" s="62"/>
      <c r="Q14" s="70"/>
      <c r="R14" s="62"/>
      <c r="S14" s="70"/>
      <c r="T14" s="62"/>
      <c r="U14" s="70"/>
      <c r="V14" s="62"/>
      <c r="W14" s="70"/>
      <c r="X14" s="62"/>
      <c r="Y14" s="70"/>
      <c r="Z14" s="62"/>
      <c r="AA14" s="70"/>
      <c r="AB14" s="62"/>
      <c r="AC14" s="70"/>
      <c r="AD14" s="62"/>
      <c r="AE14" s="70"/>
    </row>
    <row r="15" spans="1:31">
      <c r="A15" s="72" t="s">
        <v>597</v>
      </c>
      <c r="B15" s="62"/>
      <c r="C15" s="70"/>
      <c r="D15" s="62"/>
      <c r="E15" s="70"/>
      <c r="F15" s="62"/>
      <c r="G15" s="70"/>
      <c r="H15" s="62"/>
      <c r="I15" s="70"/>
      <c r="J15" s="62"/>
      <c r="K15" s="70"/>
      <c r="L15" s="62"/>
      <c r="M15" s="70"/>
      <c r="N15" s="62"/>
      <c r="O15" s="70"/>
      <c r="P15" s="62"/>
      <c r="Q15" s="70"/>
      <c r="R15" s="62"/>
      <c r="S15" s="70"/>
      <c r="T15" s="62"/>
      <c r="U15" s="70"/>
      <c r="V15" s="62"/>
      <c r="W15" s="70"/>
      <c r="X15" s="62"/>
      <c r="Y15" s="70"/>
      <c r="Z15" s="62"/>
      <c r="AA15" s="70"/>
      <c r="AB15" s="62"/>
      <c r="AC15" s="70"/>
      <c r="AD15" s="62"/>
      <c r="AE15" s="70"/>
    </row>
    <row r="16" spans="1:31">
      <c r="A16" s="72" t="s">
        <v>598</v>
      </c>
      <c r="B16" s="62"/>
      <c r="C16" s="70"/>
      <c r="D16" s="62"/>
      <c r="E16" s="70"/>
      <c r="F16" s="62"/>
      <c r="G16" s="70"/>
      <c r="H16" s="62"/>
      <c r="I16" s="70"/>
      <c r="J16" s="62"/>
      <c r="K16" s="70"/>
      <c r="L16" s="62"/>
      <c r="M16" s="70"/>
      <c r="N16" s="62"/>
      <c r="O16" s="70"/>
      <c r="P16" s="62"/>
      <c r="Q16" s="70"/>
      <c r="R16" s="62"/>
      <c r="S16" s="70"/>
      <c r="T16" s="62"/>
      <c r="U16" s="70"/>
      <c r="V16" s="62"/>
      <c r="W16" s="70"/>
      <c r="X16" s="62"/>
      <c r="Y16" s="70"/>
      <c r="Z16" s="62"/>
      <c r="AA16" s="70"/>
      <c r="AB16" s="62"/>
      <c r="AC16" s="70"/>
      <c r="AD16" s="62"/>
      <c r="AE16" s="70"/>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0053E7-827C-44A7-94DC-046049511F55}">
  <sheetPr codeName="Лист2"/>
  <dimension ref="A1:AT983"/>
  <sheetViews>
    <sheetView zoomScale="87" zoomScaleNormal="87" workbookViewId="0">
      <pane ySplit="1" topLeftCell="A2" activePane="bottomLeft" state="frozen"/>
      <selection activeCell="AO1" sqref="AO1"/>
      <selection pane="bottomLeft" activeCell="C2" sqref="C2"/>
    </sheetView>
  </sheetViews>
  <sheetFormatPr defaultColWidth="12.5703125" defaultRowHeight="12.75"/>
  <cols>
    <col min="1" max="1" width="27.28515625" customWidth="1"/>
    <col min="2" max="2" width="24.42578125" customWidth="1"/>
    <col min="3" max="3" width="38.85546875" style="3" customWidth="1"/>
    <col min="4" max="4" width="22.140625" style="8" bestFit="1" customWidth="1"/>
    <col min="5" max="5" width="24.42578125" customWidth="1"/>
    <col min="6" max="6" width="38.7109375" style="3" customWidth="1"/>
    <col min="7" max="7" width="22.140625" style="8" customWidth="1"/>
    <col min="8" max="8" width="26.5703125" customWidth="1"/>
    <col min="9" max="9" width="38.7109375" style="9" customWidth="1"/>
    <col min="10" max="10" width="22.140625" style="8" customWidth="1"/>
    <col min="11" max="11" width="24.5703125" customWidth="1"/>
    <col min="12" max="12" width="38.7109375" customWidth="1"/>
    <col min="13" max="13" width="22.140625" style="8" customWidth="1"/>
    <col min="14" max="14" width="24.42578125" customWidth="1"/>
    <col min="15" max="15" width="38.7109375" customWidth="1"/>
    <col min="16" max="16" width="22.140625" style="8" customWidth="1"/>
    <col min="17" max="17" width="24.5703125" customWidth="1"/>
    <col min="18" max="18" width="38.7109375" customWidth="1"/>
    <col min="19" max="19" width="22.140625" style="8" customWidth="1"/>
    <col min="20" max="20" width="24.42578125" customWidth="1"/>
    <col min="21" max="21" width="38.7109375" customWidth="1"/>
    <col min="22" max="22" width="22.140625" style="8" customWidth="1"/>
    <col min="23" max="23" width="24.42578125" customWidth="1"/>
    <col min="24" max="24" width="38.7109375" customWidth="1"/>
    <col min="25" max="25" width="22.140625" customWidth="1"/>
    <col min="26" max="26" width="24.42578125" customWidth="1"/>
    <col min="27" max="27" width="38.7109375" customWidth="1"/>
    <col min="28" max="28" width="22.140625" style="8" customWidth="1"/>
    <col min="29" max="29" width="24.42578125" customWidth="1"/>
    <col min="30" max="30" width="38.5703125" customWidth="1"/>
    <col min="31" max="31" width="22.140625" style="8" customWidth="1"/>
    <col min="32" max="32" width="24.42578125" customWidth="1"/>
    <col min="33" max="33" width="38.7109375" customWidth="1"/>
    <col min="34" max="34" width="22.140625" style="8" customWidth="1"/>
    <col min="35" max="35" width="24.28515625" customWidth="1"/>
    <col min="36" max="36" width="38.7109375" customWidth="1"/>
    <col min="37" max="37" width="22.140625" style="8" customWidth="1"/>
    <col min="38" max="38" width="24.42578125" customWidth="1"/>
    <col min="39" max="39" width="38.7109375" customWidth="1"/>
    <col min="40" max="40" width="22.140625" style="8" customWidth="1"/>
    <col min="41" max="41" width="23.28515625" customWidth="1"/>
    <col min="42" max="42" width="38.7109375" customWidth="1"/>
    <col min="43" max="43" width="22.140625" style="47" customWidth="1"/>
    <col min="44" max="44" width="24.5703125" customWidth="1"/>
    <col min="45" max="45" width="38.85546875" customWidth="1"/>
    <col min="46" max="46" width="22.140625" style="8" customWidth="1"/>
  </cols>
  <sheetData>
    <row r="1" spans="1:46" s="10" customFormat="1" ht="72" customHeight="1">
      <c r="A1" s="13" t="s">
        <v>0</v>
      </c>
      <c r="B1" s="14" t="s">
        <v>4</v>
      </c>
      <c r="C1" s="11" t="s">
        <v>5</v>
      </c>
      <c r="D1" s="11" t="s">
        <v>2</v>
      </c>
      <c r="E1" s="14" t="s">
        <v>6</v>
      </c>
      <c r="F1" s="11" t="s">
        <v>1</v>
      </c>
      <c r="G1" s="11" t="s">
        <v>7</v>
      </c>
      <c r="H1" s="14" t="s">
        <v>8</v>
      </c>
      <c r="I1" s="11" t="s">
        <v>9</v>
      </c>
      <c r="J1" s="11" t="s">
        <v>10</v>
      </c>
      <c r="K1" s="14" t="s">
        <v>11</v>
      </c>
      <c r="L1" s="11" t="s">
        <v>12</v>
      </c>
      <c r="M1" s="11" t="s">
        <v>13</v>
      </c>
      <c r="N1" s="14" t="s">
        <v>14</v>
      </c>
      <c r="O1" s="11" t="s">
        <v>15</v>
      </c>
      <c r="P1" s="11" t="s">
        <v>16</v>
      </c>
      <c r="Q1" s="14" t="s">
        <v>17</v>
      </c>
      <c r="R1" s="11" t="s">
        <v>18</v>
      </c>
      <c r="S1" s="11" t="s">
        <v>19</v>
      </c>
      <c r="T1" s="14" t="s">
        <v>20</v>
      </c>
      <c r="U1" s="11" t="s">
        <v>21</v>
      </c>
      <c r="V1" s="11" t="s">
        <v>22</v>
      </c>
      <c r="W1" s="14" t="s">
        <v>23</v>
      </c>
      <c r="X1" s="11" t="s">
        <v>24</v>
      </c>
      <c r="Y1" s="11" t="s">
        <v>25</v>
      </c>
      <c r="Z1" s="14" t="s">
        <v>26</v>
      </c>
      <c r="AA1" s="11" t="s">
        <v>27</v>
      </c>
      <c r="AB1" s="11" t="s">
        <v>28</v>
      </c>
      <c r="AC1" s="14" t="s">
        <v>29</v>
      </c>
      <c r="AD1" s="11" t="s">
        <v>30</v>
      </c>
      <c r="AE1" s="11" t="s">
        <v>31</v>
      </c>
      <c r="AF1" s="14" t="s">
        <v>32</v>
      </c>
      <c r="AG1" s="11" t="s">
        <v>33</v>
      </c>
      <c r="AH1" s="11" t="s">
        <v>34</v>
      </c>
      <c r="AI1" s="14" t="s">
        <v>35</v>
      </c>
      <c r="AJ1" s="11" t="s">
        <v>36</v>
      </c>
      <c r="AK1" s="11" t="s">
        <v>37</v>
      </c>
      <c r="AL1" s="14" t="s">
        <v>35</v>
      </c>
      <c r="AM1" s="11" t="s">
        <v>36</v>
      </c>
      <c r="AN1" s="11" t="s">
        <v>37</v>
      </c>
      <c r="AO1" s="14" t="s">
        <v>35</v>
      </c>
      <c r="AP1" s="11" t="s">
        <v>36</v>
      </c>
      <c r="AQ1" s="11" t="s">
        <v>37</v>
      </c>
      <c r="AR1" s="14" t="s">
        <v>35</v>
      </c>
      <c r="AS1" s="11" t="s">
        <v>36</v>
      </c>
      <c r="AT1" s="11" t="s">
        <v>37</v>
      </c>
    </row>
    <row r="2" spans="1:46" ht="12" customHeight="1">
      <c r="A2" s="59" t="s">
        <v>584</v>
      </c>
      <c r="B2" s="59" t="s">
        <v>600</v>
      </c>
      <c r="C2" s="17" t="s">
        <v>38</v>
      </c>
      <c r="D2" s="18">
        <v>6193</v>
      </c>
      <c r="E2" s="59" t="s">
        <v>601</v>
      </c>
      <c r="F2" s="19" t="s">
        <v>92</v>
      </c>
      <c r="G2" s="18">
        <v>102229</v>
      </c>
      <c r="H2" s="60" t="s">
        <v>602</v>
      </c>
      <c r="I2" s="20" t="s">
        <v>139</v>
      </c>
      <c r="J2" s="18">
        <v>70810</v>
      </c>
      <c r="K2" s="60" t="s">
        <v>603</v>
      </c>
      <c r="L2" s="21" t="s">
        <v>188</v>
      </c>
      <c r="M2" s="18">
        <v>97206</v>
      </c>
      <c r="N2" s="59" t="s">
        <v>604</v>
      </c>
      <c r="O2" s="26" t="s">
        <v>219</v>
      </c>
      <c r="P2" s="25">
        <v>15881</v>
      </c>
      <c r="Q2" s="59" t="s">
        <v>605</v>
      </c>
      <c r="R2" s="21" t="s">
        <v>239</v>
      </c>
      <c r="S2" s="18">
        <v>41400</v>
      </c>
      <c r="T2" s="59" t="s">
        <v>614</v>
      </c>
      <c r="U2" s="17" t="s">
        <v>264</v>
      </c>
      <c r="V2" s="18">
        <v>32552</v>
      </c>
      <c r="W2" s="59" t="s">
        <v>607</v>
      </c>
      <c r="X2" s="17" t="s">
        <v>282</v>
      </c>
      <c r="Y2" s="18">
        <v>36484</v>
      </c>
      <c r="Z2" s="59" t="s">
        <v>606</v>
      </c>
      <c r="AA2" s="21" t="s">
        <v>302</v>
      </c>
      <c r="AB2" s="18">
        <v>10063</v>
      </c>
      <c r="AC2" s="59" t="s">
        <v>608</v>
      </c>
      <c r="AD2" s="17" t="s">
        <v>312</v>
      </c>
      <c r="AE2" s="18">
        <v>3427</v>
      </c>
      <c r="AF2" s="59" t="s">
        <v>609</v>
      </c>
      <c r="AG2" s="24" t="s">
        <v>323</v>
      </c>
      <c r="AH2" s="25">
        <v>11864</v>
      </c>
      <c r="AI2" s="59" t="s">
        <v>610</v>
      </c>
      <c r="AJ2" s="17" t="s">
        <v>334</v>
      </c>
      <c r="AK2" s="18">
        <v>45181</v>
      </c>
      <c r="AL2" s="59" t="s">
        <v>611</v>
      </c>
      <c r="AM2" s="44" t="s">
        <v>424</v>
      </c>
      <c r="AN2" s="18">
        <v>5013</v>
      </c>
      <c r="AO2" s="59" t="s">
        <v>612</v>
      </c>
      <c r="AP2" s="17" t="s">
        <v>344</v>
      </c>
      <c r="AQ2" s="18">
        <v>38899</v>
      </c>
      <c r="AR2" s="59" t="s">
        <v>613</v>
      </c>
      <c r="AS2" s="44" t="s">
        <v>352</v>
      </c>
      <c r="AT2" s="25">
        <v>1211</v>
      </c>
    </row>
    <row r="3" spans="1:46">
      <c r="A3" s="53"/>
      <c r="B3" s="24"/>
      <c r="C3" s="24" t="s">
        <v>39</v>
      </c>
      <c r="D3" s="25">
        <v>4565</v>
      </c>
      <c r="E3" s="26"/>
      <c r="F3" s="27" t="s">
        <v>93</v>
      </c>
      <c r="G3" s="25">
        <v>100422</v>
      </c>
      <c r="H3" s="26"/>
      <c r="I3" s="28" t="s">
        <v>140</v>
      </c>
      <c r="J3" s="25">
        <v>67687</v>
      </c>
      <c r="K3" s="26"/>
      <c r="L3" s="26" t="s">
        <v>189</v>
      </c>
      <c r="M3" s="25">
        <v>30259</v>
      </c>
      <c r="N3" s="26"/>
      <c r="O3" s="26" t="s">
        <v>220</v>
      </c>
      <c r="P3" s="18">
        <v>3705</v>
      </c>
      <c r="Q3" s="41"/>
      <c r="R3" s="26" t="s">
        <v>240</v>
      </c>
      <c r="S3" s="25">
        <v>35287</v>
      </c>
      <c r="T3" s="26"/>
      <c r="U3" s="24" t="s">
        <v>265</v>
      </c>
      <c r="V3" s="25">
        <v>1987</v>
      </c>
      <c r="W3" s="26"/>
      <c r="X3" s="44" t="s">
        <v>432</v>
      </c>
      <c r="Y3" s="18">
        <v>3215</v>
      </c>
      <c r="Z3" s="26"/>
      <c r="AA3" s="44" t="s">
        <v>408</v>
      </c>
      <c r="AB3" s="25">
        <v>5094</v>
      </c>
      <c r="AC3" s="26"/>
      <c r="AD3" s="24" t="s">
        <v>313</v>
      </c>
      <c r="AE3" s="25">
        <v>1011</v>
      </c>
      <c r="AF3" s="26"/>
      <c r="AG3" s="44" t="s">
        <v>390</v>
      </c>
      <c r="AH3" s="18">
        <v>4278</v>
      </c>
      <c r="AI3" s="26"/>
      <c r="AJ3" s="44" t="s">
        <v>369</v>
      </c>
      <c r="AK3" s="18">
        <v>3852</v>
      </c>
      <c r="AL3" s="26"/>
      <c r="AM3" s="24" t="s">
        <v>338</v>
      </c>
      <c r="AN3" s="25">
        <v>4309</v>
      </c>
      <c r="AO3" s="26"/>
      <c r="AP3" s="44" t="s">
        <v>356</v>
      </c>
      <c r="AQ3" s="18">
        <v>3225</v>
      </c>
      <c r="AR3" s="26"/>
      <c r="AS3" s="26" t="s">
        <v>347</v>
      </c>
      <c r="AT3" s="18">
        <v>1185</v>
      </c>
    </row>
    <row r="4" spans="1:46" ht="12.75" customHeight="1">
      <c r="A4" s="58" t="s">
        <v>585</v>
      </c>
      <c r="B4" s="17"/>
      <c r="C4" s="17" t="s">
        <v>40</v>
      </c>
      <c r="D4" s="18">
        <v>4041</v>
      </c>
      <c r="E4" s="17"/>
      <c r="F4" s="19" t="s">
        <v>94</v>
      </c>
      <c r="G4" s="18">
        <v>86885</v>
      </c>
      <c r="H4" s="17"/>
      <c r="I4" s="44" t="s">
        <v>469</v>
      </c>
      <c r="J4" s="36">
        <v>9125</v>
      </c>
      <c r="K4" s="17"/>
      <c r="L4" s="21" t="s">
        <v>190</v>
      </c>
      <c r="M4" s="18">
        <v>8630</v>
      </c>
      <c r="N4" s="21"/>
      <c r="O4" s="26" t="s">
        <v>221</v>
      </c>
      <c r="P4" s="25">
        <v>1974</v>
      </c>
      <c r="Q4" s="21"/>
      <c r="R4" s="44" t="s">
        <v>449</v>
      </c>
      <c r="S4" s="25">
        <v>5054</v>
      </c>
      <c r="T4" s="21"/>
      <c r="U4" s="44" t="s">
        <v>441</v>
      </c>
      <c r="V4" s="25">
        <v>1206</v>
      </c>
      <c r="W4" s="21"/>
      <c r="X4" s="24" t="s">
        <v>283</v>
      </c>
      <c r="Y4" s="25">
        <v>2798</v>
      </c>
      <c r="Z4" s="21"/>
      <c r="AA4" s="44" t="s">
        <v>401</v>
      </c>
      <c r="AB4" s="18">
        <v>2829</v>
      </c>
      <c r="AC4" s="22"/>
      <c r="AD4" s="17" t="s">
        <v>314</v>
      </c>
      <c r="AE4" s="18">
        <v>1009</v>
      </c>
      <c r="AF4" s="21"/>
      <c r="AG4" s="44" t="s">
        <v>389</v>
      </c>
      <c r="AH4" s="25">
        <v>891</v>
      </c>
      <c r="AI4" s="21"/>
      <c r="AJ4" s="44" t="s">
        <v>377</v>
      </c>
      <c r="AK4" s="18">
        <v>2401</v>
      </c>
      <c r="AL4" s="21"/>
      <c r="AM4" s="44" t="s">
        <v>419</v>
      </c>
      <c r="AN4" s="25">
        <v>3159</v>
      </c>
      <c r="AO4" s="21"/>
      <c r="AP4" s="44" t="s">
        <v>358</v>
      </c>
      <c r="AQ4" s="18">
        <v>1097</v>
      </c>
      <c r="AR4" s="21"/>
      <c r="AS4" s="43" t="s">
        <v>355</v>
      </c>
      <c r="AT4" s="18">
        <v>739</v>
      </c>
    </row>
    <row r="5" spans="1:46">
      <c r="A5" s="53"/>
      <c r="B5" s="24"/>
      <c r="C5" s="24" t="s">
        <v>41</v>
      </c>
      <c r="D5" s="18">
        <v>3527</v>
      </c>
      <c r="E5" s="24"/>
      <c r="F5" s="44" t="s">
        <v>471</v>
      </c>
      <c r="G5" s="36">
        <v>14169</v>
      </c>
      <c r="H5" s="24"/>
      <c r="I5" s="44" t="s">
        <v>467</v>
      </c>
      <c r="J5" s="36">
        <v>2898</v>
      </c>
      <c r="K5" s="24"/>
      <c r="L5" s="26" t="s">
        <v>191</v>
      </c>
      <c r="M5" s="25">
        <v>7492</v>
      </c>
      <c r="N5" s="26"/>
      <c r="O5" s="26" t="s">
        <v>222</v>
      </c>
      <c r="P5" s="18">
        <v>1522</v>
      </c>
      <c r="Q5" s="26"/>
      <c r="R5" s="44" t="s">
        <v>448</v>
      </c>
      <c r="S5" s="25">
        <v>4340</v>
      </c>
      <c r="T5" s="26"/>
      <c r="U5" s="44" t="s">
        <v>443</v>
      </c>
      <c r="V5" s="18">
        <v>1145</v>
      </c>
      <c r="W5" s="26"/>
      <c r="X5" s="26" t="s">
        <v>284</v>
      </c>
      <c r="Y5" s="18">
        <v>2203</v>
      </c>
      <c r="Z5" s="26"/>
      <c r="AA5" s="44" t="s">
        <v>414</v>
      </c>
      <c r="AB5" s="25">
        <v>906</v>
      </c>
      <c r="AC5" s="30"/>
      <c r="AD5" s="24" t="s">
        <v>315</v>
      </c>
      <c r="AE5" s="25">
        <v>872</v>
      </c>
      <c r="AF5" s="26"/>
      <c r="AG5" s="26" t="s">
        <v>324</v>
      </c>
      <c r="AH5" s="18">
        <v>795</v>
      </c>
      <c r="AI5" s="26"/>
      <c r="AJ5" s="44" t="s">
        <v>372</v>
      </c>
      <c r="AK5" s="18">
        <v>2359</v>
      </c>
      <c r="AL5" s="26"/>
      <c r="AM5" s="44" t="s">
        <v>429</v>
      </c>
      <c r="AN5" s="25">
        <v>1158</v>
      </c>
      <c r="AO5" s="26"/>
      <c r="AP5" s="24" t="s">
        <v>345</v>
      </c>
      <c r="AQ5" s="25">
        <v>955</v>
      </c>
      <c r="AR5" s="26"/>
      <c r="AS5" s="43" t="s">
        <v>353</v>
      </c>
      <c r="AT5" s="18">
        <v>352</v>
      </c>
    </row>
    <row r="6" spans="1:46" ht="14.25" customHeight="1">
      <c r="A6" s="58" t="s">
        <v>586</v>
      </c>
      <c r="B6" s="17"/>
      <c r="C6" s="45" t="s">
        <v>42</v>
      </c>
      <c r="D6" s="18">
        <v>3276</v>
      </c>
      <c r="E6" s="21"/>
      <c r="F6" s="52" t="s">
        <v>477</v>
      </c>
      <c r="G6" s="25">
        <v>3546</v>
      </c>
      <c r="H6" s="21"/>
      <c r="I6" s="44" t="s">
        <v>461</v>
      </c>
      <c r="J6" s="18">
        <v>2607</v>
      </c>
      <c r="K6" s="21"/>
      <c r="L6" s="21" t="s">
        <v>192</v>
      </c>
      <c r="M6" s="18">
        <v>7277</v>
      </c>
      <c r="N6" s="21"/>
      <c r="O6" s="26" t="s">
        <v>223</v>
      </c>
      <c r="P6" s="25">
        <v>962</v>
      </c>
      <c r="Q6" s="21"/>
      <c r="R6" s="21" t="s">
        <v>450</v>
      </c>
      <c r="S6" s="18">
        <v>3747</v>
      </c>
      <c r="T6" s="21"/>
      <c r="U6" s="17" t="s">
        <v>266</v>
      </c>
      <c r="V6" s="18">
        <v>1135</v>
      </c>
      <c r="W6" s="21"/>
      <c r="X6" s="24" t="s">
        <v>285</v>
      </c>
      <c r="Y6" s="25">
        <v>1865</v>
      </c>
      <c r="Z6" s="21"/>
      <c r="AA6" s="44" t="s">
        <v>409</v>
      </c>
      <c r="AB6" s="18">
        <v>805</v>
      </c>
      <c r="AC6" s="21"/>
      <c r="AD6" s="17" t="s">
        <v>316</v>
      </c>
      <c r="AE6" s="18">
        <v>602</v>
      </c>
      <c r="AF6" s="21"/>
      <c r="AG6" s="44" t="s">
        <v>397</v>
      </c>
      <c r="AH6" s="25">
        <v>778</v>
      </c>
      <c r="AI6" s="21"/>
      <c r="AJ6" s="44" t="s">
        <v>371</v>
      </c>
      <c r="AK6" s="25">
        <v>2307</v>
      </c>
      <c r="AL6" s="21"/>
      <c r="AM6" s="44" t="s">
        <v>420</v>
      </c>
      <c r="AN6" s="18">
        <v>1000</v>
      </c>
      <c r="AO6" s="21"/>
      <c r="AP6" s="43" t="s">
        <v>359</v>
      </c>
      <c r="AQ6" s="25">
        <v>821</v>
      </c>
      <c r="AR6" s="21"/>
      <c r="AS6" s="42" t="s">
        <v>348</v>
      </c>
      <c r="AT6" s="25">
        <v>332</v>
      </c>
    </row>
    <row r="7" spans="1:46">
      <c r="A7" s="53"/>
      <c r="B7" s="33"/>
      <c r="C7" s="24" t="s">
        <v>43</v>
      </c>
      <c r="D7" s="25">
        <v>3257</v>
      </c>
      <c r="E7" s="30"/>
      <c r="F7" s="44" t="s">
        <v>475</v>
      </c>
      <c r="G7" s="25">
        <v>2599</v>
      </c>
      <c r="H7" s="26"/>
      <c r="I7" s="44" t="s">
        <v>463</v>
      </c>
      <c r="J7" s="38">
        <v>1673</v>
      </c>
      <c r="K7" s="30"/>
      <c r="L7" s="26" t="s">
        <v>193</v>
      </c>
      <c r="M7" s="25">
        <v>7214</v>
      </c>
      <c r="N7" s="26"/>
      <c r="O7" s="26" t="s">
        <v>224</v>
      </c>
      <c r="P7" s="18">
        <v>882</v>
      </c>
      <c r="Q7" s="26"/>
      <c r="R7" s="44" t="s">
        <v>457</v>
      </c>
      <c r="S7" s="25">
        <v>1882</v>
      </c>
      <c r="T7" s="26"/>
      <c r="U7" s="24" t="s">
        <v>267</v>
      </c>
      <c r="V7" s="25">
        <v>920</v>
      </c>
      <c r="W7" s="26"/>
      <c r="X7" s="26" t="s">
        <v>286</v>
      </c>
      <c r="Y7" s="18">
        <v>1393</v>
      </c>
      <c r="Z7" s="26"/>
      <c r="AA7" s="44" t="s">
        <v>416</v>
      </c>
      <c r="AB7" s="25">
        <v>712</v>
      </c>
      <c r="AC7" s="30"/>
      <c r="AD7" s="24" t="s">
        <v>317</v>
      </c>
      <c r="AE7" s="25">
        <v>580</v>
      </c>
      <c r="AF7" s="26"/>
      <c r="AG7" s="44" t="s">
        <v>398</v>
      </c>
      <c r="AH7" s="18">
        <v>703</v>
      </c>
      <c r="AI7" s="26"/>
      <c r="AJ7" s="43" t="s">
        <v>374</v>
      </c>
      <c r="AK7" s="25">
        <v>1999</v>
      </c>
      <c r="AL7" s="26"/>
      <c r="AM7" s="43" t="s">
        <v>430</v>
      </c>
      <c r="AN7" s="18">
        <v>890</v>
      </c>
      <c r="AO7" s="26"/>
      <c r="AP7" s="44" t="s">
        <v>362</v>
      </c>
      <c r="AQ7" s="18">
        <v>766</v>
      </c>
      <c r="AR7" s="26"/>
      <c r="AS7" s="43" t="s">
        <v>351</v>
      </c>
      <c r="AT7" s="18">
        <v>231</v>
      </c>
    </row>
    <row r="8" spans="1:46" ht="12" customHeight="1">
      <c r="A8" s="58" t="s">
        <v>587</v>
      </c>
      <c r="B8" s="17"/>
      <c r="C8" s="17" t="s">
        <v>44</v>
      </c>
      <c r="D8" s="18">
        <v>3216</v>
      </c>
      <c r="E8" s="21"/>
      <c r="F8" s="27" t="s">
        <v>95</v>
      </c>
      <c r="G8" s="25">
        <v>2414</v>
      </c>
      <c r="H8" s="21"/>
      <c r="I8" s="20" t="s">
        <v>141</v>
      </c>
      <c r="J8" s="18">
        <v>1460</v>
      </c>
      <c r="K8" s="21"/>
      <c r="L8" s="21" t="s">
        <v>194</v>
      </c>
      <c r="M8" s="18">
        <v>1910</v>
      </c>
      <c r="N8" s="21"/>
      <c r="O8" s="26" t="s">
        <v>225</v>
      </c>
      <c r="P8" s="25">
        <v>685</v>
      </c>
      <c r="Q8" s="21"/>
      <c r="R8" s="44" t="s">
        <v>458</v>
      </c>
      <c r="S8" s="18">
        <v>1492</v>
      </c>
      <c r="T8" s="21"/>
      <c r="U8" s="44" t="s">
        <v>442</v>
      </c>
      <c r="V8" s="25">
        <v>734</v>
      </c>
      <c r="W8" s="21"/>
      <c r="X8" s="44" t="s">
        <v>435</v>
      </c>
      <c r="Y8" s="25">
        <v>1352</v>
      </c>
      <c r="Z8" s="21"/>
      <c r="AA8" s="44" t="s">
        <v>404</v>
      </c>
      <c r="AB8" s="25">
        <v>534</v>
      </c>
      <c r="AC8" s="21"/>
      <c r="AD8" s="17" t="s">
        <v>318</v>
      </c>
      <c r="AE8" s="18">
        <v>376</v>
      </c>
      <c r="AF8" s="21"/>
      <c r="AG8" s="24" t="s">
        <v>325</v>
      </c>
      <c r="AH8" s="25">
        <v>494</v>
      </c>
      <c r="AI8" s="21"/>
      <c r="AJ8" s="43" t="s">
        <v>382</v>
      </c>
      <c r="AK8" s="25">
        <v>1988</v>
      </c>
      <c r="AL8" s="21"/>
      <c r="AM8" s="43" t="s">
        <v>421</v>
      </c>
      <c r="AN8" s="25">
        <v>794</v>
      </c>
      <c r="AO8" s="21"/>
      <c r="AP8" s="45" t="s">
        <v>342</v>
      </c>
      <c r="AQ8" s="18">
        <v>543</v>
      </c>
      <c r="AR8" s="21"/>
      <c r="AS8" s="43" t="s">
        <v>350</v>
      </c>
      <c r="AT8" s="25">
        <v>136</v>
      </c>
    </row>
    <row r="9" spans="1:46" ht="14.25">
      <c r="A9" s="53"/>
      <c r="B9" s="24"/>
      <c r="C9" s="24" t="s">
        <v>45</v>
      </c>
      <c r="D9" s="25">
        <v>3097</v>
      </c>
      <c r="E9" s="26"/>
      <c r="F9" s="50" t="s">
        <v>96</v>
      </c>
      <c r="G9" s="25">
        <v>2209</v>
      </c>
      <c r="H9" s="26"/>
      <c r="I9" s="44" t="s">
        <v>462</v>
      </c>
      <c r="J9" s="25">
        <v>1322</v>
      </c>
      <c r="K9" s="26"/>
      <c r="L9" s="26" t="s">
        <v>195</v>
      </c>
      <c r="M9" s="25">
        <v>1681</v>
      </c>
      <c r="N9" s="26"/>
      <c r="O9" s="26" t="s">
        <v>226</v>
      </c>
      <c r="P9" s="18">
        <v>539</v>
      </c>
      <c r="Q9" s="26"/>
      <c r="R9" s="26" t="s">
        <v>244</v>
      </c>
      <c r="S9" s="25">
        <v>1150</v>
      </c>
      <c r="T9" s="26"/>
      <c r="U9" s="26" t="s">
        <v>268</v>
      </c>
      <c r="V9" s="18">
        <v>691</v>
      </c>
      <c r="W9" s="26"/>
      <c r="X9" s="24" t="s">
        <v>287</v>
      </c>
      <c r="Y9" s="25">
        <v>1152</v>
      </c>
      <c r="Z9" s="26"/>
      <c r="AA9" s="26" t="s">
        <v>303</v>
      </c>
      <c r="AB9" s="25">
        <v>473</v>
      </c>
      <c r="AC9" s="26"/>
      <c r="AD9" s="24" t="s">
        <v>319</v>
      </c>
      <c r="AE9" s="25">
        <v>311</v>
      </c>
      <c r="AF9" s="26"/>
      <c r="AG9" s="44" t="s">
        <v>399</v>
      </c>
      <c r="AH9" s="25">
        <v>302</v>
      </c>
      <c r="AI9" s="26"/>
      <c r="AJ9" s="43" t="s">
        <v>376</v>
      </c>
      <c r="AK9" s="25">
        <v>1834</v>
      </c>
      <c r="AL9" s="26"/>
      <c r="AM9" s="43" t="s">
        <v>422</v>
      </c>
      <c r="AN9" s="18">
        <v>789</v>
      </c>
      <c r="AO9" s="26"/>
      <c r="AP9" s="43" t="s">
        <v>363</v>
      </c>
      <c r="AQ9" s="25">
        <v>397</v>
      </c>
      <c r="AR9" s="26"/>
      <c r="AS9" s="42" t="s">
        <v>349</v>
      </c>
      <c r="AT9" s="18">
        <v>119</v>
      </c>
    </row>
    <row r="10" spans="1:46" ht="15">
      <c r="A10" s="58" t="s">
        <v>588</v>
      </c>
      <c r="B10" s="17"/>
      <c r="C10" s="16" t="s">
        <v>46</v>
      </c>
      <c r="D10" s="18">
        <v>2519</v>
      </c>
      <c r="E10" s="21"/>
      <c r="F10" s="51" t="s">
        <v>97</v>
      </c>
      <c r="G10" s="18">
        <v>2155</v>
      </c>
      <c r="H10" s="21"/>
      <c r="I10" s="28" t="s">
        <v>142</v>
      </c>
      <c r="J10" s="25">
        <v>1266</v>
      </c>
      <c r="K10" s="21"/>
      <c r="L10" s="26" t="s">
        <v>197</v>
      </c>
      <c r="M10" s="25">
        <v>1531</v>
      </c>
      <c r="N10" s="21"/>
      <c r="O10" s="21" t="s">
        <v>216</v>
      </c>
      <c r="P10" s="18">
        <v>462</v>
      </c>
      <c r="Q10" s="21"/>
      <c r="R10" s="26" t="s">
        <v>71</v>
      </c>
      <c r="S10" s="25">
        <v>1029</v>
      </c>
      <c r="T10" s="21"/>
      <c r="U10" s="24" t="s">
        <v>269</v>
      </c>
      <c r="V10" s="25">
        <v>654</v>
      </c>
      <c r="W10" s="21"/>
      <c r="X10" s="17" t="s">
        <v>288</v>
      </c>
      <c r="Y10" s="18">
        <v>1011</v>
      </c>
      <c r="Z10" s="21"/>
      <c r="AA10" s="44" t="s">
        <v>413</v>
      </c>
      <c r="AB10" s="18">
        <v>401</v>
      </c>
      <c r="AC10" s="21"/>
      <c r="AD10" s="17" t="s">
        <v>320</v>
      </c>
      <c r="AE10" s="18">
        <v>160</v>
      </c>
      <c r="AF10" s="21"/>
      <c r="AG10" s="44" t="s">
        <v>392</v>
      </c>
      <c r="AH10" s="18">
        <v>302</v>
      </c>
      <c r="AI10" s="21"/>
      <c r="AJ10" s="43" t="s">
        <v>380</v>
      </c>
      <c r="AK10" s="25">
        <v>1399</v>
      </c>
      <c r="AL10" s="21"/>
      <c r="AM10" s="43" t="s">
        <v>423</v>
      </c>
      <c r="AN10" s="25">
        <v>511</v>
      </c>
      <c r="AO10" s="21"/>
      <c r="AP10" s="43" t="s">
        <v>361</v>
      </c>
      <c r="AQ10" s="25">
        <v>363</v>
      </c>
      <c r="AR10" s="21"/>
      <c r="AS10" s="43" t="s">
        <v>354</v>
      </c>
      <c r="AT10" s="25">
        <v>116</v>
      </c>
    </row>
    <row r="11" spans="1:46" ht="12" customHeight="1">
      <c r="A11" s="53"/>
      <c r="B11" s="24"/>
      <c r="C11" s="24" t="s">
        <v>47</v>
      </c>
      <c r="D11" s="25">
        <v>2499</v>
      </c>
      <c r="E11" s="26"/>
      <c r="F11" s="43" t="s">
        <v>472</v>
      </c>
      <c r="G11" s="38">
        <v>1938</v>
      </c>
      <c r="H11" s="26"/>
      <c r="I11" s="24" t="s">
        <v>143</v>
      </c>
      <c r="J11" s="18">
        <v>1211</v>
      </c>
      <c r="K11" s="26"/>
      <c r="L11" s="26" t="s">
        <v>196</v>
      </c>
      <c r="M11" s="18">
        <v>1505</v>
      </c>
      <c r="N11" s="26"/>
      <c r="O11" s="26" t="s">
        <v>227</v>
      </c>
      <c r="P11" s="25">
        <v>434</v>
      </c>
      <c r="Q11" s="26"/>
      <c r="R11" s="21" t="s">
        <v>74</v>
      </c>
      <c r="S11" s="18">
        <v>956</v>
      </c>
      <c r="T11" s="26"/>
      <c r="U11" s="26" t="s">
        <v>271</v>
      </c>
      <c r="V11" s="18">
        <v>398</v>
      </c>
      <c r="W11" s="26"/>
      <c r="X11" s="24" t="s">
        <v>289</v>
      </c>
      <c r="Y11" s="25">
        <v>939</v>
      </c>
      <c r="Z11" s="26"/>
      <c r="AA11" s="26" t="s">
        <v>305</v>
      </c>
      <c r="AB11" s="25">
        <v>386</v>
      </c>
      <c r="AC11" s="26"/>
      <c r="AD11" s="24" t="s">
        <v>321</v>
      </c>
      <c r="AE11" s="25">
        <v>149</v>
      </c>
      <c r="AF11" s="26"/>
      <c r="AG11" s="26" t="s">
        <v>322</v>
      </c>
      <c r="AH11" s="18">
        <v>295</v>
      </c>
      <c r="AI11" s="26"/>
      <c r="AJ11" s="1" t="s">
        <v>335</v>
      </c>
      <c r="AK11" s="25">
        <v>1359</v>
      </c>
      <c r="AL11" s="26"/>
      <c r="AM11" s="43" t="s">
        <v>428</v>
      </c>
      <c r="AN11" s="18">
        <v>443</v>
      </c>
      <c r="AO11" s="26"/>
      <c r="AP11" s="1" t="s">
        <v>357</v>
      </c>
      <c r="AQ11" s="25">
        <v>359</v>
      </c>
      <c r="AR11" s="26"/>
      <c r="AS11" s="24"/>
      <c r="AT11" s="25"/>
    </row>
    <row r="12" spans="1:46" ht="15">
      <c r="A12" s="58" t="s">
        <v>589</v>
      </c>
      <c r="B12" s="17"/>
      <c r="C12" s="17" t="s">
        <v>48</v>
      </c>
      <c r="D12" s="18">
        <v>2479</v>
      </c>
      <c r="E12" s="17"/>
      <c r="F12" s="44" t="s">
        <v>476</v>
      </c>
      <c r="G12" s="18">
        <v>1677</v>
      </c>
      <c r="H12" s="17"/>
      <c r="I12" s="28" t="s">
        <v>144</v>
      </c>
      <c r="J12" s="25">
        <v>1097</v>
      </c>
      <c r="K12" s="17"/>
      <c r="L12" s="21" t="s">
        <v>198</v>
      </c>
      <c r="M12" s="18">
        <v>1155</v>
      </c>
      <c r="N12" s="21"/>
      <c r="O12" s="21" t="s">
        <v>228</v>
      </c>
      <c r="P12" s="18">
        <v>357</v>
      </c>
      <c r="Q12" s="21"/>
      <c r="R12" s="44" t="s">
        <v>455</v>
      </c>
      <c r="S12" s="25">
        <v>639</v>
      </c>
      <c r="T12" s="21"/>
      <c r="U12" s="44" t="s">
        <v>447</v>
      </c>
      <c r="V12" s="18">
        <v>397</v>
      </c>
      <c r="W12" s="21"/>
      <c r="X12" s="17" t="s">
        <v>280</v>
      </c>
      <c r="Y12" s="18">
        <v>935</v>
      </c>
      <c r="Z12" s="21"/>
      <c r="AA12" s="26" t="s">
        <v>304</v>
      </c>
      <c r="AB12" s="18">
        <v>384</v>
      </c>
      <c r="AC12" s="22"/>
      <c r="AD12" s="17"/>
      <c r="AE12" s="18"/>
      <c r="AF12" s="21"/>
      <c r="AG12" s="45" t="s">
        <v>326</v>
      </c>
      <c r="AH12" s="18">
        <v>278</v>
      </c>
      <c r="AI12" s="21"/>
      <c r="AJ12" s="43" t="s">
        <v>378</v>
      </c>
      <c r="AK12" s="25">
        <v>1268</v>
      </c>
      <c r="AL12" s="21"/>
      <c r="AM12" s="43" t="s">
        <v>425</v>
      </c>
      <c r="AN12" s="25">
        <v>422</v>
      </c>
      <c r="AO12" s="21"/>
      <c r="AP12" s="1" t="s">
        <v>343</v>
      </c>
      <c r="AQ12" s="25">
        <v>194</v>
      </c>
      <c r="AR12" s="21"/>
      <c r="AS12" s="17"/>
      <c r="AT12" s="18"/>
    </row>
    <row r="13" spans="1:46">
      <c r="A13" s="54"/>
      <c r="B13" s="24"/>
      <c r="C13" s="24" t="s">
        <v>49</v>
      </c>
      <c r="D13" s="25">
        <v>2463</v>
      </c>
      <c r="E13" s="26"/>
      <c r="F13" s="44" t="s">
        <v>474</v>
      </c>
      <c r="G13" s="38">
        <v>1509</v>
      </c>
      <c r="H13" s="26"/>
      <c r="I13" s="24" t="s">
        <v>145</v>
      </c>
      <c r="J13" s="18">
        <v>1053</v>
      </c>
      <c r="K13" s="26"/>
      <c r="L13" s="26" t="s">
        <v>199</v>
      </c>
      <c r="M13" s="25">
        <v>803</v>
      </c>
      <c r="N13" s="26"/>
      <c r="O13" s="26" t="s">
        <v>229</v>
      </c>
      <c r="P13" s="25">
        <v>325</v>
      </c>
      <c r="Q13" s="26"/>
      <c r="R13" s="26" t="s">
        <v>245</v>
      </c>
      <c r="S13" s="18">
        <v>592</v>
      </c>
      <c r="T13" s="26"/>
      <c r="U13" s="24" t="s">
        <v>270</v>
      </c>
      <c r="V13" s="25">
        <v>395</v>
      </c>
      <c r="W13" s="26"/>
      <c r="X13" s="44" t="s">
        <v>433</v>
      </c>
      <c r="Y13" s="25">
        <v>806</v>
      </c>
      <c r="Z13" s="26"/>
      <c r="AA13" s="44" t="s">
        <v>415</v>
      </c>
      <c r="AB13" s="18">
        <v>355</v>
      </c>
      <c r="AC13" s="26"/>
      <c r="AD13" s="24"/>
      <c r="AE13" s="25"/>
      <c r="AF13" s="26"/>
      <c r="AG13" s="43" t="s">
        <v>400</v>
      </c>
      <c r="AH13" s="18">
        <v>214</v>
      </c>
      <c r="AI13" s="26"/>
      <c r="AJ13" s="26" t="s">
        <v>336</v>
      </c>
      <c r="AK13" s="18">
        <v>1213</v>
      </c>
      <c r="AL13" s="26"/>
      <c r="AM13" s="45" t="s">
        <v>339</v>
      </c>
      <c r="AN13" s="18">
        <v>393</v>
      </c>
      <c r="AO13" s="26"/>
      <c r="AP13" s="43" t="s">
        <v>364</v>
      </c>
      <c r="AQ13" s="18">
        <v>186</v>
      </c>
      <c r="AR13" s="26"/>
      <c r="AS13" s="24"/>
      <c r="AT13" s="25"/>
    </row>
    <row r="14" spans="1:46" ht="12" customHeight="1">
      <c r="A14" s="58" t="s">
        <v>590</v>
      </c>
      <c r="B14" s="17"/>
      <c r="C14" s="17" t="s">
        <v>50</v>
      </c>
      <c r="D14" s="18">
        <v>2398</v>
      </c>
      <c r="E14" s="17"/>
      <c r="F14" s="26" t="s">
        <v>98</v>
      </c>
      <c r="G14" s="18">
        <v>1421</v>
      </c>
      <c r="H14" s="17"/>
      <c r="I14" s="28" t="s">
        <v>138</v>
      </c>
      <c r="J14" s="25">
        <v>1041</v>
      </c>
      <c r="K14" s="17"/>
      <c r="L14" s="21" t="s">
        <v>200</v>
      </c>
      <c r="M14" s="18">
        <v>669</v>
      </c>
      <c r="N14" s="21"/>
      <c r="O14" s="21" t="s">
        <v>230</v>
      </c>
      <c r="P14" s="18">
        <v>312</v>
      </c>
      <c r="Q14" s="21"/>
      <c r="R14" s="44" t="s">
        <v>452</v>
      </c>
      <c r="S14" s="18">
        <v>525</v>
      </c>
      <c r="T14" s="21"/>
      <c r="U14" s="24" t="s">
        <v>262</v>
      </c>
      <c r="V14" s="25">
        <v>384</v>
      </c>
      <c r="W14" s="21"/>
      <c r="X14" s="26" t="s">
        <v>290</v>
      </c>
      <c r="Y14" s="18">
        <v>683</v>
      </c>
      <c r="Z14" s="21"/>
      <c r="AA14" s="43" t="s">
        <v>411</v>
      </c>
      <c r="AB14" s="18">
        <v>312</v>
      </c>
      <c r="AC14" s="22"/>
      <c r="AD14" s="17"/>
      <c r="AE14" s="18"/>
      <c r="AF14" s="21"/>
      <c r="AG14" s="1" t="s">
        <v>327</v>
      </c>
      <c r="AH14" s="25">
        <v>205</v>
      </c>
      <c r="AI14" s="21"/>
      <c r="AJ14" s="43" t="s">
        <v>368</v>
      </c>
      <c r="AK14" s="25">
        <v>1106</v>
      </c>
      <c r="AL14" s="21"/>
      <c r="AM14" s="43" t="s">
        <v>427</v>
      </c>
      <c r="AN14" s="25">
        <v>314</v>
      </c>
      <c r="AO14" s="21"/>
      <c r="AP14" s="43" t="s">
        <v>366</v>
      </c>
      <c r="AQ14" s="18">
        <v>115</v>
      </c>
      <c r="AR14" s="21"/>
      <c r="AS14" s="17"/>
      <c r="AT14" s="18"/>
    </row>
    <row r="15" spans="1:46">
      <c r="A15" s="55"/>
      <c r="B15" s="24"/>
      <c r="C15" s="24" t="s">
        <v>51</v>
      </c>
      <c r="D15" s="25">
        <v>2103</v>
      </c>
      <c r="E15" s="24"/>
      <c r="F15" s="50" t="s">
        <v>99</v>
      </c>
      <c r="G15" s="25">
        <v>1411</v>
      </c>
      <c r="H15" s="24"/>
      <c r="I15" s="24" t="s">
        <v>146</v>
      </c>
      <c r="J15" s="18">
        <v>994</v>
      </c>
      <c r="K15" s="24"/>
      <c r="L15" s="26" t="s">
        <v>201</v>
      </c>
      <c r="M15" s="25">
        <v>582</v>
      </c>
      <c r="N15" s="26"/>
      <c r="O15" s="26" t="s">
        <v>232</v>
      </c>
      <c r="P15" s="18">
        <v>266</v>
      </c>
      <c r="Q15" s="26"/>
      <c r="R15" s="26" t="s">
        <v>246</v>
      </c>
      <c r="S15" s="25">
        <v>513</v>
      </c>
      <c r="T15" s="26"/>
      <c r="U15" s="26" t="s">
        <v>272</v>
      </c>
      <c r="V15" s="18">
        <v>342</v>
      </c>
      <c r="W15" s="26"/>
      <c r="X15" s="24" t="s">
        <v>291</v>
      </c>
      <c r="Y15" s="25">
        <v>673</v>
      </c>
      <c r="Z15" s="26"/>
      <c r="AA15" s="43" t="s">
        <v>406</v>
      </c>
      <c r="AB15" s="25">
        <v>299</v>
      </c>
      <c r="AC15" s="30"/>
      <c r="AD15" s="24"/>
      <c r="AE15" s="25"/>
      <c r="AF15" s="26"/>
      <c r="AG15" s="43" t="s">
        <v>388</v>
      </c>
      <c r="AH15" s="18">
        <v>188</v>
      </c>
      <c r="AI15" s="26"/>
      <c r="AJ15" s="43" t="s">
        <v>384</v>
      </c>
      <c r="AK15" s="25">
        <v>1084</v>
      </c>
      <c r="AL15" s="26"/>
      <c r="AM15" s="48" t="s">
        <v>340</v>
      </c>
      <c r="AN15" s="18">
        <v>239</v>
      </c>
      <c r="AO15" s="26"/>
      <c r="AP15" s="43" t="s">
        <v>360</v>
      </c>
      <c r="AQ15" s="18">
        <v>103</v>
      </c>
      <c r="AR15" s="26"/>
      <c r="AS15" s="24"/>
      <c r="AT15" s="25"/>
    </row>
    <row r="16" spans="1:46" ht="15">
      <c r="A16" s="58" t="s">
        <v>591</v>
      </c>
      <c r="B16" s="17"/>
      <c r="C16" s="17" t="s">
        <v>52</v>
      </c>
      <c r="D16" s="18">
        <v>1981</v>
      </c>
      <c r="E16" s="21"/>
      <c r="F16" s="19" t="s">
        <v>100</v>
      </c>
      <c r="G16" s="18">
        <v>1251</v>
      </c>
      <c r="H16" s="21"/>
      <c r="I16" s="28" t="s">
        <v>148</v>
      </c>
      <c r="J16" s="25">
        <v>897</v>
      </c>
      <c r="K16" s="21"/>
      <c r="L16" s="21" t="s">
        <v>202</v>
      </c>
      <c r="M16" s="18">
        <v>523</v>
      </c>
      <c r="N16" s="21"/>
      <c r="O16" s="26" t="s">
        <v>231</v>
      </c>
      <c r="P16" s="25">
        <v>259</v>
      </c>
      <c r="Q16" s="21"/>
      <c r="R16" s="44" t="s">
        <v>454</v>
      </c>
      <c r="S16" s="18">
        <v>499</v>
      </c>
      <c r="T16" s="21"/>
      <c r="U16" s="17" t="s">
        <v>274</v>
      </c>
      <c r="V16" s="18">
        <v>339</v>
      </c>
      <c r="W16" s="21"/>
      <c r="X16" s="26" t="s">
        <v>292</v>
      </c>
      <c r="Y16" s="18">
        <v>607</v>
      </c>
      <c r="Z16" s="21"/>
      <c r="AA16" s="43" t="s">
        <v>407</v>
      </c>
      <c r="AB16" s="18">
        <v>247</v>
      </c>
      <c r="AC16" s="21"/>
      <c r="AD16" s="17"/>
      <c r="AE16" s="18"/>
      <c r="AF16" s="21"/>
      <c r="AG16" s="43" t="s">
        <v>395</v>
      </c>
      <c r="AH16" s="25">
        <v>181</v>
      </c>
      <c r="AI16" s="21"/>
      <c r="AJ16" s="43" t="s">
        <v>379</v>
      </c>
      <c r="AK16" s="18">
        <v>764</v>
      </c>
      <c r="AL16" s="21"/>
      <c r="AM16" s="43" t="s">
        <v>418</v>
      </c>
      <c r="AN16" s="18">
        <v>185</v>
      </c>
      <c r="AO16" s="21"/>
      <c r="AP16" s="43" t="s">
        <v>365</v>
      </c>
      <c r="AQ16" s="25">
        <v>100</v>
      </c>
      <c r="AR16" s="21"/>
      <c r="AS16" s="17"/>
      <c r="AT16" s="18"/>
    </row>
    <row r="17" spans="1:46">
      <c r="A17" s="55"/>
      <c r="B17" s="24"/>
      <c r="C17" s="24" t="s">
        <v>53</v>
      </c>
      <c r="D17" s="25">
        <v>1967</v>
      </c>
      <c r="E17" s="24"/>
      <c r="F17" s="26" t="s">
        <v>101</v>
      </c>
      <c r="G17" s="18">
        <v>1078</v>
      </c>
      <c r="H17" s="24"/>
      <c r="I17" s="24" t="s">
        <v>147</v>
      </c>
      <c r="J17" s="18">
        <v>876</v>
      </c>
      <c r="K17" s="24"/>
      <c r="L17" s="26" t="s">
        <v>204</v>
      </c>
      <c r="M17" s="18">
        <v>508</v>
      </c>
      <c r="N17" s="26"/>
      <c r="O17" s="26" t="s">
        <v>233</v>
      </c>
      <c r="P17" s="25">
        <v>233</v>
      </c>
      <c r="Q17" s="26"/>
      <c r="R17" s="26" t="s">
        <v>247</v>
      </c>
      <c r="S17" s="18">
        <v>489</v>
      </c>
      <c r="T17" s="26"/>
      <c r="U17" s="26" t="s">
        <v>273</v>
      </c>
      <c r="V17" s="18">
        <v>327</v>
      </c>
      <c r="W17" s="26"/>
      <c r="X17" s="26" t="s">
        <v>293</v>
      </c>
      <c r="Y17" s="25">
        <v>602</v>
      </c>
      <c r="Z17" s="26"/>
      <c r="AA17" s="26" t="s">
        <v>306</v>
      </c>
      <c r="AB17" s="18">
        <v>244</v>
      </c>
      <c r="AC17" s="30"/>
      <c r="AD17" s="24"/>
      <c r="AE17" s="25"/>
      <c r="AF17" s="26"/>
      <c r="AG17" s="43" t="s">
        <v>391</v>
      </c>
      <c r="AH17" s="25">
        <v>156</v>
      </c>
      <c r="AI17" s="26"/>
      <c r="AJ17" s="43" t="s">
        <v>381</v>
      </c>
      <c r="AK17" s="18">
        <v>748</v>
      </c>
      <c r="AL17" s="26"/>
      <c r="AM17" s="43" t="s">
        <v>417</v>
      </c>
      <c r="AN17" s="25">
        <v>172</v>
      </c>
      <c r="AO17" s="26"/>
      <c r="AP17" s="43" t="s">
        <v>367</v>
      </c>
      <c r="AQ17" s="25">
        <v>141</v>
      </c>
      <c r="AR17" s="26"/>
      <c r="AS17" s="24"/>
      <c r="AT17" s="25"/>
    </row>
    <row r="18" spans="1:46" ht="15">
      <c r="A18" s="58" t="s">
        <v>592</v>
      </c>
      <c r="B18" s="17"/>
      <c r="C18" s="17" t="s">
        <v>54</v>
      </c>
      <c r="D18" s="18">
        <v>1845</v>
      </c>
      <c r="E18" s="17"/>
      <c r="F18" s="27" t="s">
        <v>102</v>
      </c>
      <c r="G18" s="25">
        <v>1053</v>
      </c>
      <c r="H18" s="17"/>
      <c r="I18" s="28" t="s">
        <v>149</v>
      </c>
      <c r="J18" s="25">
        <v>859</v>
      </c>
      <c r="K18" s="17"/>
      <c r="L18" s="26" t="s">
        <v>203</v>
      </c>
      <c r="M18" s="25">
        <v>491</v>
      </c>
      <c r="N18" s="21"/>
      <c r="O18" s="26" t="s">
        <v>217</v>
      </c>
      <c r="P18" s="25">
        <v>214</v>
      </c>
      <c r="Q18" s="21"/>
      <c r="R18" s="26" t="s">
        <v>248</v>
      </c>
      <c r="S18" s="25">
        <v>489</v>
      </c>
      <c r="T18" s="21"/>
      <c r="U18" s="24" t="s">
        <v>275</v>
      </c>
      <c r="V18" s="25">
        <v>315</v>
      </c>
      <c r="W18" s="21"/>
      <c r="X18" s="24" t="s">
        <v>281</v>
      </c>
      <c r="Y18" s="25">
        <v>593</v>
      </c>
      <c r="Z18" s="21"/>
      <c r="AA18" s="43" t="s">
        <v>405</v>
      </c>
      <c r="AB18" s="18">
        <v>242</v>
      </c>
      <c r="AC18" s="22"/>
      <c r="AD18" s="17"/>
      <c r="AE18" s="18"/>
      <c r="AF18" s="21"/>
      <c r="AG18" s="45" t="s">
        <v>330</v>
      </c>
      <c r="AH18" s="18">
        <v>141</v>
      </c>
      <c r="AI18" s="21"/>
      <c r="AJ18" s="43" t="s">
        <v>383</v>
      </c>
      <c r="AK18" s="18">
        <v>565</v>
      </c>
      <c r="AL18" s="21"/>
      <c r="AM18" s="43" t="s">
        <v>431</v>
      </c>
      <c r="AN18" s="25">
        <v>126</v>
      </c>
      <c r="AO18" s="21"/>
      <c r="AP18" s="17"/>
      <c r="AQ18" s="18"/>
      <c r="AR18" s="21"/>
      <c r="AS18" s="17"/>
      <c r="AT18" s="18"/>
    </row>
    <row r="19" spans="1:46">
      <c r="A19" s="55"/>
      <c r="B19" s="24"/>
      <c r="C19" s="24" t="s">
        <v>55</v>
      </c>
      <c r="D19" s="25">
        <v>1751</v>
      </c>
      <c r="E19" s="24"/>
      <c r="F19" s="26" t="s">
        <v>103</v>
      </c>
      <c r="G19" s="18">
        <v>1029</v>
      </c>
      <c r="H19" s="24"/>
      <c r="I19" s="24" t="s">
        <v>150</v>
      </c>
      <c r="J19" s="18">
        <v>820</v>
      </c>
      <c r="K19" s="24"/>
      <c r="L19" s="26" t="s">
        <v>205</v>
      </c>
      <c r="M19" s="25">
        <v>443</v>
      </c>
      <c r="N19" s="26"/>
      <c r="O19" s="26" t="s">
        <v>234</v>
      </c>
      <c r="P19" s="18">
        <v>212</v>
      </c>
      <c r="Q19" s="26"/>
      <c r="R19" s="26" t="s">
        <v>249</v>
      </c>
      <c r="S19" s="18">
        <v>487</v>
      </c>
      <c r="T19" s="26"/>
      <c r="U19" s="1" t="s">
        <v>276</v>
      </c>
      <c r="V19" s="25">
        <v>296</v>
      </c>
      <c r="W19" s="26"/>
      <c r="X19" s="24" t="s">
        <v>295</v>
      </c>
      <c r="Y19" s="25">
        <v>519</v>
      </c>
      <c r="Z19" s="26"/>
      <c r="AA19" s="48" t="s">
        <v>307</v>
      </c>
      <c r="AB19" s="25">
        <v>239</v>
      </c>
      <c r="AC19" s="30"/>
      <c r="AD19" s="24"/>
      <c r="AE19" s="25"/>
      <c r="AF19" s="26"/>
      <c r="AG19" s="43" t="s">
        <v>393</v>
      </c>
      <c r="AH19" s="25">
        <v>137</v>
      </c>
      <c r="AI19" s="26"/>
      <c r="AJ19" s="43" t="s">
        <v>370</v>
      </c>
      <c r="AK19" s="25">
        <v>355</v>
      </c>
      <c r="AL19" s="26"/>
      <c r="AM19" s="1" t="s">
        <v>341</v>
      </c>
      <c r="AN19" s="25">
        <v>119</v>
      </c>
      <c r="AO19" s="26"/>
      <c r="AP19" s="24"/>
      <c r="AQ19" s="25"/>
      <c r="AR19" s="26"/>
      <c r="AS19" s="24"/>
      <c r="AT19" s="25"/>
    </row>
    <row r="20" spans="1:46" ht="15">
      <c r="A20" s="58" t="s">
        <v>593</v>
      </c>
      <c r="B20" s="17"/>
      <c r="C20" s="17" t="s">
        <v>56</v>
      </c>
      <c r="D20" s="18">
        <v>1536</v>
      </c>
      <c r="E20" s="21"/>
      <c r="F20" s="27" t="s">
        <v>104</v>
      </c>
      <c r="G20" s="25">
        <v>960</v>
      </c>
      <c r="H20" s="21"/>
      <c r="I20" s="44" t="s">
        <v>468</v>
      </c>
      <c r="J20" s="38">
        <v>819</v>
      </c>
      <c r="K20" s="21"/>
      <c r="L20" s="26" t="s">
        <v>207</v>
      </c>
      <c r="M20" s="25">
        <v>392</v>
      </c>
      <c r="N20" s="21"/>
      <c r="O20" s="26" t="s">
        <v>235</v>
      </c>
      <c r="P20" s="25">
        <v>190</v>
      </c>
      <c r="Q20" s="21"/>
      <c r="R20" s="26" t="s">
        <v>250</v>
      </c>
      <c r="S20" s="25">
        <v>437</v>
      </c>
      <c r="T20" s="21"/>
      <c r="U20" s="45" t="s">
        <v>277</v>
      </c>
      <c r="V20" s="18">
        <v>247</v>
      </c>
      <c r="W20" s="21"/>
      <c r="X20" s="26" t="s">
        <v>294</v>
      </c>
      <c r="Y20" s="18">
        <v>515</v>
      </c>
      <c r="Z20" s="21"/>
      <c r="AA20" s="48" t="s">
        <v>309</v>
      </c>
      <c r="AB20" s="25">
        <v>234</v>
      </c>
      <c r="AC20" s="21"/>
      <c r="AD20" s="17"/>
      <c r="AE20" s="18"/>
      <c r="AF20" s="21"/>
      <c r="AG20" s="1" t="s">
        <v>329</v>
      </c>
      <c r="AH20" s="25">
        <v>136</v>
      </c>
      <c r="AI20" s="21"/>
      <c r="AJ20" s="48" t="s">
        <v>332</v>
      </c>
      <c r="AK20" s="18">
        <v>325</v>
      </c>
      <c r="AL20" s="21"/>
      <c r="AM20" s="43" t="s">
        <v>426</v>
      </c>
      <c r="AN20" s="18">
        <v>110</v>
      </c>
      <c r="AO20" s="21"/>
      <c r="AP20" s="17"/>
      <c r="AQ20" s="18"/>
      <c r="AR20" s="21"/>
      <c r="AS20" s="17"/>
      <c r="AT20" s="18"/>
    </row>
    <row r="21" spans="1:46">
      <c r="A21" s="54"/>
      <c r="B21" s="24"/>
      <c r="C21" s="24" t="s">
        <v>57</v>
      </c>
      <c r="D21" s="25">
        <v>1514</v>
      </c>
      <c r="E21" s="26"/>
      <c r="F21" s="26" t="s">
        <v>105</v>
      </c>
      <c r="G21" s="18">
        <v>958</v>
      </c>
      <c r="H21" s="26"/>
      <c r="I21" s="28" t="s">
        <v>151</v>
      </c>
      <c r="J21" s="25">
        <v>716</v>
      </c>
      <c r="K21" s="26"/>
      <c r="L21" s="26" t="s">
        <v>206</v>
      </c>
      <c r="M21" s="18">
        <v>381</v>
      </c>
      <c r="N21" s="26"/>
      <c r="O21" s="26" t="s">
        <v>236</v>
      </c>
      <c r="P21" s="18">
        <v>190</v>
      </c>
      <c r="Q21" s="26"/>
      <c r="R21" s="26" t="s">
        <v>241</v>
      </c>
      <c r="S21" s="18">
        <v>369</v>
      </c>
      <c r="T21" s="26"/>
      <c r="U21" s="48" t="s">
        <v>279</v>
      </c>
      <c r="V21" s="18">
        <v>229</v>
      </c>
      <c r="W21" s="26"/>
      <c r="X21" s="26" t="s">
        <v>296</v>
      </c>
      <c r="Y21" s="18">
        <v>481</v>
      </c>
      <c r="Z21" s="26"/>
      <c r="AA21" s="48" t="s">
        <v>308</v>
      </c>
      <c r="AB21" s="18">
        <v>232</v>
      </c>
      <c r="AC21" s="26"/>
      <c r="AD21" s="24"/>
      <c r="AE21" s="25"/>
      <c r="AF21" s="26"/>
      <c r="AG21" s="26" t="s">
        <v>328</v>
      </c>
      <c r="AH21" s="18">
        <v>133</v>
      </c>
      <c r="AI21" s="26"/>
      <c r="AJ21" s="43" t="s">
        <v>385</v>
      </c>
      <c r="AK21" s="18">
        <v>254</v>
      </c>
      <c r="AL21" s="26"/>
      <c r="AM21" s="45" t="s">
        <v>337</v>
      </c>
      <c r="AN21" s="18">
        <v>107</v>
      </c>
      <c r="AO21" s="26"/>
      <c r="AP21" s="24"/>
      <c r="AQ21" s="25"/>
      <c r="AR21" s="26"/>
      <c r="AS21" s="24"/>
      <c r="AT21" s="25"/>
    </row>
    <row r="22" spans="1:46" ht="15">
      <c r="A22" s="58" t="s">
        <v>594</v>
      </c>
      <c r="B22" s="17"/>
      <c r="C22" s="17" t="s">
        <v>58</v>
      </c>
      <c r="D22" s="18">
        <v>1469</v>
      </c>
      <c r="E22" s="17"/>
      <c r="F22" s="27" t="s">
        <v>106</v>
      </c>
      <c r="G22" s="25">
        <v>934</v>
      </c>
      <c r="H22" s="17"/>
      <c r="I22" s="20" t="s">
        <v>152</v>
      </c>
      <c r="J22" s="18">
        <v>697</v>
      </c>
      <c r="K22" s="17"/>
      <c r="L22" s="21" t="s">
        <v>208</v>
      </c>
      <c r="M22" s="18">
        <v>358</v>
      </c>
      <c r="N22" s="21"/>
      <c r="O22" s="26" t="s">
        <v>237</v>
      </c>
      <c r="P22" s="25">
        <v>188</v>
      </c>
      <c r="Q22" s="21"/>
      <c r="R22" s="21" t="s">
        <v>242</v>
      </c>
      <c r="S22" s="18">
        <v>326</v>
      </c>
      <c r="T22" s="21"/>
      <c r="U22" s="1" t="s">
        <v>263</v>
      </c>
      <c r="V22" s="25">
        <v>170</v>
      </c>
      <c r="W22" s="21"/>
      <c r="X22" s="43" t="s">
        <v>436</v>
      </c>
      <c r="Y22" s="18">
        <v>480</v>
      </c>
      <c r="Z22" s="21"/>
      <c r="AA22" s="43" t="s">
        <v>402</v>
      </c>
      <c r="AB22" s="25">
        <v>232</v>
      </c>
      <c r="AC22" s="22"/>
      <c r="AD22" s="17"/>
      <c r="AE22" s="18"/>
      <c r="AF22" s="21"/>
      <c r="AG22" s="43" t="s">
        <v>396</v>
      </c>
      <c r="AH22" s="18">
        <v>128</v>
      </c>
      <c r="AI22" s="21"/>
      <c r="AJ22" s="43" t="s">
        <v>387</v>
      </c>
      <c r="AK22" s="18">
        <v>254</v>
      </c>
      <c r="AL22" s="21"/>
      <c r="AM22" s="17"/>
      <c r="AN22" s="18"/>
      <c r="AO22" s="21"/>
      <c r="AP22" s="17"/>
      <c r="AQ22" s="18"/>
      <c r="AR22" s="21"/>
      <c r="AS22" s="17"/>
      <c r="AT22" s="18"/>
    </row>
    <row r="23" spans="1:46">
      <c r="A23" s="54"/>
      <c r="B23" s="24"/>
      <c r="C23" s="24" t="s">
        <v>59</v>
      </c>
      <c r="D23" s="25">
        <v>1450</v>
      </c>
      <c r="E23" s="26"/>
      <c r="F23" s="26" t="s">
        <v>107</v>
      </c>
      <c r="G23" s="18">
        <v>910</v>
      </c>
      <c r="H23" s="26"/>
      <c r="I23" s="28" t="s">
        <v>153</v>
      </c>
      <c r="J23" s="25">
        <v>655</v>
      </c>
      <c r="K23" s="26"/>
      <c r="L23" s="26" t="s">
        <v>209</v>
      </c>
      <c r="M23" s="25">
        <v>343</v>
      </c>
      <c r="N23" s="26"/>
      <c r="O23" s="26" t="s">
        <v>238</v>
      </c>
      <c r="P23" s="18">
        <v>174</v>
      </c>
      <c r="Q23" s="26"/>
      <c r="R23" s="44" t="s">
        <v>451</v>
      </c>
      <c r="S23" s="25">
        <v>320</v>
      </c>
      <c r="T23" s="26"/>
      <c r="U23" s="44" t="s">
        <v>445</v>
      </c>
      <c r="V23" s="18">
        <v>146</v>
      </c>
      <c r="W23" s="26"/>
      <c r="X23" s="43" t="s">
        <v>437</v>
      </c>
      <c r="Y23" s="25">
        <v>443</v>
      </c>
      <c r="Z23" s="26"/>
      <c r="AA23" s="26" t="s">
        <v>300</v>
      </c>
      <c r="AB23" s="18">
        <v>154</v>
      </c>
      <c r="AC23" s="26"/>
      <c r="AD23" s="24"/>
      <c r="AE23" s="25"/>
      <c r="AF23" s="26"/>
      <c r="AG23" s="1" t="s">
        <v>331</v>
      </c>
      <c r="AH23" s="25">
        <v>120</v>
      </c>
      <c r="AI23" s="26"/>
      <c r="AJ23" s="43" t="s">
        <v>373</v>
      </c>
      <c r="AK23" s="18">
        <v>158</v>
      </c>
      <c r="AL23" s="26"/>
      <c r="AM23" s="24"/>
      <c r="AN23" s="25"/>
      <c r="AO23" s="26"/>
      <c r="AP23" s="24"/>
      <c r="AQ23" s="25"/>
      <c r="AR23" s="26"/>
      <c r="AS23" s="24"/>
      <c r="AT23" s="25"/>
    </row>
    <row r="24" spans="1:46" ht="15">
      <c r="A24" s="58" t="s">
        <v>595</v>
      </c>
      <c r="B24" s="17"/>
      <c r="C24" s="17" t="s">
        <v>60</v>
      </c>
      <c r="D24" s="18">
        <v>1386</v>
      </c>
      <c r="E24" s="21"/>
      <c r="F24" s="27" t="s">
        <v>90</v>
      </c>
      <c r="G24" s="25">
        <v>907</v>
      </c>
      <c r="H24" s="21"/>
      <c r="I24" s="20" t="s">
        <v>186</v>
      </c>
      <c r="J24" s="18">
        <v>620</v>
      </c>
      <c r="K24" s="21"/>
      <c r="L24" s="26" t="s">
        <v>211</v>
      </c>
      <c r="M24" s="25">
        <v>338</v>
      </c>
      <c r="N24" s="21"/>
      <c r="O24" s="21" t="s">
        <v>218</v>
      </c>
      <c r="P24" s="18">
        <v>121</v>
      </c>
      <c r="Q24" s="21"/>
      <c r="R24" s="26" t="s">
        <v>252</v>
      </c>
      <c r="S24" s="25">
        <v>312</v>
      </c>
      <c r="T24" s="21"/>
      <c r="U24" s="43" t="s">
        <v>440</v>
      </c>
      <c r="V24" s="25">
        <v>144</v>
      </c>
      <c r="W24" s="21"/>
      <c r="X24" s="1" t="s">
        <v>297</v>
      </c>
      <c r="Y24" s="25">
        <v>436</v>
      </c>
      <c r="Z24" s="21"/>
      <c r="AA24" s="48" t="s">
        <v>310</v>
      </c>
      <c r="AB24" s="18">
        <v>135</v>
      </c>
      <c r="AC24" s="21"/>
      <c r="AD24" s="17"/>
      <c r="AE24" s="18"/>
      <c r="AF24" s="21"/>
      <c r="AG24" s="43" t="s">
        <v>394</v>
      </c>
      <c r="AH24" s="18">
        <v>105</v>
      </c>
      <c r="AI24" s="21"/>
      <c r="AJ24" s="1" t="s">
        <v>333</v>
      </c>
      <c r="AK24" s="25">
        <v>134</v>
      </c>
      <c r="AL24" s="21"/>
      <c r="AM24" s="17"/>
      <c r="AN24" s="18"/>
      <c r="AO24" s="21"/>
      <c r="AP24" s="17"/>
      <c r="AQ24" s="18"/>
      <c r="AR24" s="21"/>
      <c r="AS24" s="17"/>
      <c r="AT24" s="18"/>
    </row>
    <row r="25" spans="1:46">
      <c r="A25" s="54"/>
      <c r="B25" s="24"/>
      <c r="C25" s="24" t="s">
        <v>61</v>
      </c>
      <c r="D25" s="25">
        <v>1363</v>
      </c>
      <c r="E25" s="26"/>
      <c r="F25" s="26" t="s">
        <v>109</v>
      </c>
      <c r="G25" s="18">
        <v>872</v>
      </c>
      <c r="H25" s="26"/>
      <c r="I25" s="28" t="s">
        <v>154</v>
      </c>
      <c r="J25" s="25">
        <v>605</v>
      </c>
      <c r="K25" s="26"/>
      <c r="L25" s="26" t="s">
        <v>210</v>
      </c>
      <c r="M25" s="18">
        <v>333</v>
      </c>
      <c r="N25" s="26"/>
      <c r="O25" s="26"/>
      <c r="P25" s="25"/>
      <c r="Q25" s="26"/>
      <c r="R25" s="26" t="s">
        <v>253</v>
      </c>
      <c r="S25" s="25">
        <v>282</v>
      </c>
      <c r="T25" s="26"/>
      <c r="U25" s="1" t="s">
        <v>645</v>
      </c>
      <c r="V25" s="25">
        <v>130</v>
      </c>
      <c r="W25" s="26"/>
      <c r="X25" s="48" t="s">
        <v>298</v>
      </c>
      <c r="Y25" s="18">
        <v>389</v>
      </c>
      <c r="Z25" s="26"/>
      <c r="AA25" s="43" t="s">
        <v>410</v>
      </c>
      <c r="AB25" s="25">
        <v>127</v>
      </c>
      <c r="AC25" s="26"/>
      <c r="AD25" s="24"/>
      <c r="AE25" s="25"/>
      <c r="AF25" s="26"/>
      <c r="AG25" s="24"/>
      <c r="AH25" s="25"/>
      <c r="AI25" s="26"/>
      <c r="AJ25" s="43" t="s">
        <v>386</v>
      </c>
      <c r="AK25" s="25">
        <v>121</v>
      </c>
      <c r="AL25" s="26"/>
      <c r="AM25" s="24"/>
      <c r="AN25" s="25"/>
      <c r="AO25" s="26"/>
      <c r="AP25" s="24"/>
      <c r="AQ25" s="25"/>
      <c r="AR25" s="26"/>
      <c r="AS25" s="24"/>
      <c r="AT25" s="25"/>
    </row>
    <row r="26" spans="1:46" ht="15">
      <c r="A26" s="58" t="s">
        <v>596</v>
      </c>
      <c r="B26" s="17"/>
      <c r="C26" s="44" t="s">
        <v>492</v>
      </c>
      <c r="D26" s="25">
        <v>1360</v>
      </c>
      <c r="E26" s="21"/>
      <c r="F26" s="27" t="s">
        <v>108</v>
      </c>
      <c r="G26" s="25">
        <v>872</v>
      </c>
      <c r="H26" s="21"/>
      <c r="I26" s="20" t="s">
        <v>155</v>
      </c>
      <c r="J26" s="18">
        <v>593</v>
      </c>
      <c r="K26" s="21"/>
      <c r="L26" s="21" t="s">
        <v>212</v>
      </c>
      <c r="M26" s="18">
        <v>301</v>
      </c>
      <c r="N26" s="21"/>
      <c r="O26" s="21"/>
      <c r="P26" s="18"/>
      <c r="Q26" s="21"/>
      <c r="R26" s="48" t="s">
        <v>260</v>
      </c>
      <c r="S26" s="18">
        <v>276</v>
      </c>
      <c r="T26" s="21"/>
      <c r="U26" s="43" t="s">
        <v>446</v>
      </c>
      <c r="V26" s="25">
        <v>129</v>
      </c>
      <c r="W26" s="21"/>
      <c r="X26" s="43" t="s">
        <v>434</v>
      </c>
      <c r="Y26" s="18">
        <v>379</v>
      </c>
      <c r="Z26" s="21"/>
      <c r="AA26" s="48" t="s">
        <v>311</v>
      </c>
      <c r="AB26" s="25">
        <v>122</v>
      </c>
      <c r="AC26" s="21"/>
      <c r="AD26" s="17"/>
      <c r="AE26" s="18"/>
      <c r="AF26" s="21"/>
      <c r="AG26" s="17"/>
      <c r="AH26" s="18"/>
      <c r="AI26" s="21"/>
      <c r="AJ26" s="43" t="s">
        <v>375</v>
      </c>
      <c r="AK26" s="18">
        <v>111</v>
      </c>
      <c r="AL26" s="21"/>
      <c r="AM26" s="17"/>
      <c r="AN26" s="18"/>
      <c r="AO26" s="21"/>
      <c r="AP26" s="17"/>
      <c r="AQ26" s="18"/>
      <c r="AR26" s="21"/>
      <c r="AS26" s="17"/>
      <c r="AT26" s="18"/>
    </row>
    <row r="27" spans="1:46">
      <c r="A27" s="54"/>
      <c r="B27" s="24"/>
      <c r="C27" s="24" t="s">
        <v>62</v>
      </c>
      <c r="D27" s="18">
        <v>1357</v>
      </c>
      <c r="E27" s="26"/>
      <c r="F27" s="26" t="s">
        <v>110</v>
      </c>
      <c r="G27" s="18">
        <v>854</v>
      </c>
      <c r="H27" s="26"/>
      <c r="I27" s="28" t="s">
        <v>156</v>
      </c>
      <c r="J27" s="25">
        <v>583</v>
      </c>
      <c r="K27" s="26"/>
      <c r="L27" s="26" t="s">
        <v>213</v>
      </c>
      <c r="M27" s="25">
        <v>301</v>
      </c>
      <c r="N27" s="26"/>
      <c r="O27" s="26"/>
      <c r="P27" s="25"/>
      <c r="Q27" s="26"/>
      <c r="R27" s="48" t="s">
        <v>256</v>
      </c>
      <c r="S27" s="25">
        <v>273</v>
      </c>
      <c r="T27" s="26"/>
      <c r="U27" s="24" t="s">
        <v>444</v>
      </c>
      <c r="V27" s="25">
        <v>99</v>
      </c>
      <c r="W27" s="26"/>
      <c r="X27" s="1" t="s">
        <v>299</v>
      </c>
      <c r="Y27" s="25">
        <v>376</v>
      </c>
      <c r="Z27" s="26"/>
      <c r="AA27" s="43" t="s">
        <v>403</v>
      </c>
      <c r="AB27" s="18">
        <v>112</v>
      </c>
      <c r="AC27" s="26"/>
      <c r="AD27" s="24"/>
      <c r="AE27" s="25"/>
      <c r="AF27" s="26"/>
      <c r="AG27" s="24"/>
      <c r="AH27" s="25"/>
      <c r="AI27" s="26"/>
      <c r="AJ27" s="24"/>
      <c r="AK27" s="25"/>
      <c r="AL27" s="26"/>
      <c r="AM27" s="24"/>
      <c r="AN27" s="25"/>
      <c r="AO27" s="26"/>
      <c r="AP27" s="24"/>
      <c r="AQ27" s="25"/>
      <c r="AR27" s="26"/>
      <c r="AS27" s="24"/>
      <c r="AT27" s="25"/>
    </row>
    <row r="28" spans="1:46" ht="15">
      <c r="A28" s="58" t="s">
        <v>597</v>
      </c>
      <c r="B28" s="17"/>
      <c r="C28" s="24" t="s">
        <v>63</v>
      </c>
      <c r="D28" s="25">
        <v>1331</v>
      </c>
      <c r="E28" s="21"/>
      <c r="F28" s="50" t="s">
        <v>111</v>
      </c>
      <c r="G28" s="25">
        <v>799</v>
      </c>
      <c r="H28" s="21"/>
      <c r="I28" s="20" t="s">
        <v>158</v>
      </c>
      <c r="J28" s="18">
        <v>566</v>
      </c>
      <c r="K28" s="21"/>
      <c r="L28" s="21" t="s">
        <v>214</v>
      </c>
      <c r="M28" s="18">
        <v>298</v>
      </c>
      <c r="N28" s="21"/>
      <c r="O28" s="21"/>
      <c r="P28" s="18"/>
      <c r="Q28" s="21"/>
      <c r="R28" s="26" t="s">
        <v>254</v>
      </c>
      <c r="S28" s="18">
        <v>269</v>
      </c>
      <c r="T28" s="21"/>
      <c r="U28" s="17"/>
      <c r="V28" s="18"/>
      <c r="W28" s="21"/>
      <c r="X28" s="43" t="s">
        <v>439</v>
      </c>
      <c r="Y28" s="25">
        <v>153</v>
      </c>
      <c r="Z28" s="21"/>
      <c r="AA28" s="48" t="s">
        <v>301</v>
      </c>
      <c r="AB28" s="25">
        <v>105</v>
      </c>
      <c r="AC28" s="21"/>
      <c r="AD28" s="17"/>
      <c r="AE28" s="18"/>
      <c r="AF28" s="21"/>
      <c r="AG28" s="17"/>
      <c r="AH28" s="18"/>
      <c r="AI28" s="21"/>
      <c r="AJ28" s="17"/>
      <c r="AK28" s="18"/>
      <c r="AL28" s="21"/>
      <c r="AM28" s="17"/>
      <c r="AN28" s="18"/>
      <c r="AO28" s="21"/>
      <c r="AP28" s="17"/>
      <c r="AQ28" s="18"/>
      <c r="AR28" s="21"/>
      <c r="AS28" s="17"/>
      <c r="AT28" s="18"/>
    </row>
    <row r="29" spans="1:46">
      <c r="A29" s="55"/>
      <c r="B29" s="24"/>
      <c r="C29" s="24" t="s">
        <v>64</v>
      </c>
      <c r="D29" s="18">
        <v>1311</v>
      </c>
      <c r="E29" s="24"/>
      <c r="F29" s="27" t="s">
        <v>112</v>
      </c>
      <c r="G29" s="25">
        <v>763</v>
      </c>
      <c r="H29" s="24"/>
      <c r="I29" s="28" t="s">
        <v>157</v>
      </c>
      <c r="J29" s="25">
        <v>564</v>
      </c>
      <c r="K29" s="24"/>
      <c r="L29" s="26" t="s">
        <v>215</v>
      </c>
      <c r="M29" s="25">
        <v>287</v>
      </c>
      <c r="N29" s="26"/>
      <c r="O29" s="26"/>
      <c r="P29" s="25"/>
      <c r="Q29" s="26"/>
      <c r="R29" s="26" t="s">
        <v>259</v>
      </c>
      <c r="S29" s="18">
        <v>269</v>
      </c>
      <c r="T29" s="26"/>
      <c r="U29" s="24"/>
      <c r="V29" s="25"/>
      <c r="W29" s="26"/>
      <c r="X29" s="43" t="s">
        <v>438</v>
      </c>
      <c r="Y29" s="18">
        <v>131</v>
      </c>
      <c r="Z29" s="26"/>
      <c r="AA29" s="43" t="s">
        <v>412</v>
      </c>
      <c r="AB29" s="25">
        <v>103</v>
      </c>
      <c r="AC29" s="30"/>
      <c r="AD29" s="24"/>
      <c r="AE29" s="25"/>
      <c r="AF29" s="26"/>
      <c r="AG29" s="24"/>
      <c r="AH29" s="25"/>
      <c r="AI29" s="26"/>
      <c r="AJ29" s="24"/>
      <c r="AK29" s="25"/>
      <c r="AL29" s="26"/>
      <c r="AM29" s="24"/>
      <c r="AN29" s="25"/>
      <c r="AO29" s="26"/>
      <c r="AP29" s="24"/>
      <c r="AQ29" s="25"/>
      <c r="AR29" s="26"/>
      <c r="AS29" s="24"/>
      <c r="AT29" s="25"/>
    </row>
    <row r="30" spans="1:46" ht="14.25" customHeight="1">
      <c r="A30" s="58" t="s">
        <v>598</v>
      </c>
      <c r="B30" s="17"/>
      <c r="C30" s="24" t="s">
        <v>65</v>
      </c>
      <c r="D30" s="25">
        <v>1295</v>
      </c>
      <c r="E30" s="21"/>
      <c r="F30" s="19" t="s">
        <v>113</v>
      </c>
      <c r="G30" s="18">
        <v>761</v>
      </c>
      <c r="H30" s="21"/>
      <c r="I30" s="20" t="s">
        <v>159</v>
      </c>
      <c r="J30" s="18">
        <v>559</v>
      </c>
      <c r="K30" s="21"/>
      <c r="L30" s="21"/>
      <c r="M30" s="18"/>
      <c r="N30" s="21"/>
      <c r="O30" s="21"/>
      <c r="P30" s="18"/>
      <c r="Q30" s="21"/>
      <c r="R30" s="48" t="s">
        <v>255</v>
      </c>
      <c r="S30" s="18">
        <v>264</v>
      </c>
      <c r="T30" s="21"/>
      <c r="U30" s="17"/>
      <c r="V30" s="18"/>
      <c r="W30" s="21"/>
      <c r="X30" s="17"/>
      <c r="Y30" s="18"/>
      <c r="Z30" s="21"/>
      <c r="AA30" s="21"/>
      <c r="AB30" s="18"/>
      <c r="AC30" s="21"/>
      <c r="AD30" s="17"/>
      <c r="AE30" s="18"/>
      <c r="AF30" s="21"/>
      <c r="AG30" s="17"/>
      <c r="AH30" s="18"/>
      <c r="AI30" s="21"/>
      <c r="AJ30" s="17"/>
      <c r="AK30" s="18"/>
      <c r="AL30" s="21"/>
      <c r="AM30" s="17"/>
      <c r="AN30" s="18"/>
      <c r="AO30" s="21"/>
      <c r="AP30" s="17"/>
      <c r="AQ30" s="18"/>
      <c r="AR30" s="21"/>
      <c r="AS30" s="17"/>
      <c r="AT30" s="18"/>
    </row>
    <row r="31" spans="1:46">
      <c r="A31" s="55"/>
      <c r="B31" s="24"/>
      <c r="C31" s="24" t="s">
        <v>66</v>
      </c>
      <c r="D31" s="18">
        <v>1250</v>
      </c>
      <c r="E31" s="24"/>
      <c r="F31" s="27" t="s">
        <v>114</v>
      </c>
      <c r="G31" s="25">
        <v>748</v>
      </c>
      <c r="H31" s="24"/>
      <c r="I31" s="28" t="s">
        <v>161</v>
      </c>
      <c r="J31" s="25">
        <v>545</v>
      </c>
      <c r="K31" s="24"/>
      <c r="L31" s="26"/>
      <c r="M31" s="25"/>
      <c r="N31" s="26"/>
      <c r="O31" s="26"/>
      <c r="P31" s="25"/>
      <c r="Q31" s="26"/>
      <c r="R31" s="26" t="s">
        <v>257</v>
      </c>
      <c r="S31" s="18">
        <v>264</v>
      </c>
      <c r="T31" s="26"/>
      <c r="U31" s="24"/>
      <c r="V31" s="25"/>
      <c r="W31" s="26"/>
      <c r="X31" s="24"/>
      <c r="Y31" s="25"/>
      <c r="Z31" s="26"/>
      <c r="AA31" s="26"/>
      <c r="AB31" s="25"/>
      <c r="AC31" s="30"/>
      <c r="AD31" s="24"/>
      <c r="AE31" s="25"/>
      <c r="AF31" s="26"/>
      <c r="AG31" s="24"/>
      <c r="AH31" s="25"/>
      <c r="AI31" s="26"/>
      <c r="AJ31" s="24"/>
      <c r="AK31" s="25"/>
      <c r="AL31" s="26"/>
      <c r="AM31" s="24"/>
      <c r="AN31" s="25"/>
      <c r="AO31" s="26"/>
      <c r="AP31" s="24"/>
      <c r="AQ31" s="25"/>
      <c r="AR31" s="26"/>
      <c r="AS31" s="24"/>
      <c r="AT31" s="25"/>
    </row>
    <row r="32" spans="1:46">
      <c r="A32" s="56"/>
      <c r="B32" s="16"/>
      <c r="C32" s="24" t="s">
        <v>67</v>
      </c>
      <c r="D32" s="25">
        <v>1206</v>
      </c>
      <c r="E32" s="22"/>
      <c r="F32" s="19" t="s">
        <v>115</v>
      </c>
      <c r="G32" s="18">
        <v>709</v>
      </c>
      <c r="H32" s="21"/>
      <c r="I32" s="20" t="s">
        <v>164</v>
      </c>
      <c r="J32" s="18">
        <v>539</v>
      </c>
      <c r="K32" s="22"/>
      <c r="L32" s="21"/>
      <c r="M32" s="18"/>
      <c r="N32" s="21"/>
      <c r="O32" s="21"/>
      <c r="P32" s="18"/>
      <c r="Q32" s="21"/>
      <c r="R32" s="43" t="s">
        <v>459</v>
      </c>
      <c r="S32" s="25">
        <v>255</v>
      </c>
      <c r="T32" s="21"/>
      <c r="U32" s="17"/>
      <c r="V32" s="18"/>
      <c r="W32" s="21"/>
      <c r="X32" s="17"/>
      <c r="Y32" s="18"/>
      <c r="Z32" s="21"/>
      <c r="AA32" s="21"/>
      <c r="AB32" s="18"/>
      <c r="AC32" s="22"/>
      <c r="AD32" s="17"/>
      <c r="AE32" s="18"/>
      <c r="AF32" s="21"/>
      <c r="AG32" s="17"/>
      <c r="AH32" s="18"/>
      <c r="AI32" s="21"/>
      <c r="AJ32" s="17"/>
      <c r="AK32" s="18"/>
      <c r="AL32" s="21"/>
      <c r="AM32" s="17"/>
      <c r="AN32" s="18"/>
      <c r="AO32" s="21"/>
      <c r="AP32" s="17"/>
      <c r="AQ32" s="18"/>
      <c r="AR32" s="21"/>
      <c r="AS32" s="17"/>
      <c r="AT32" s="18"/>
    </row>
    <row r="33" spans="1:46">
      <c r="A33" s="54"/>
      <c r="B33" s="24"/>
      <c r="C33" s="24" t="s">
        <v>68</v>
      </c>
      <c r="D33" s="18">
        <v>1202</v>
      </c>
      <c r="E33" s="26"/>
      <c r="F33" s="27" t="s">
        <v>116</v>
      </c>
      <c r="G33" s="25">
        <v>697</v>
      </c>
      <c r="H33" s="26"/>
      <c r="I33" s="28" t="s">
        <v>162</v>
      </c>
      <c r="J33" s="25">
        <v>536</v>
      </c>
      <c r="K33" s="26"/>
      <c r="L33" s="26"/>
      <c r="M33" s="25"/>
      <c r="N33" s="26"/>
      <c r="O33" s="26"/>
      <c r="P33" s="25"/>
      <c r="Q33" s="26"/>
      <c r="R33" s="43" t="s">
        <v>456</v>
      </c>
      <c r="S33" s="18">
        <v>254</v>
      </c>
      <c r="T33" s="26"/>
      <c r="U33" s="24"/>
      <c r="V33" s="25"/>
      <c r="W33" s="26"/>
      <c r="X33" s="24"/>
      <c r="Y33" s="25"/>
      <c r="Z33" s="26"/>
      <c r="AA33" s="26"/>
      <c r="AB33" s="25"/>
      <c r="AC33" s="26"/>
      <c r="AD33" s="24"/>
      <c r="AE33" s="25"/>
      <c r="AF33" s="26"/>
      <c r="AG33" s="24"/>
      <c r="AH33" s="25"/>
      <c r="AI33" s="26"/>
      <c r="AJ33" s="24"/>
      <c r="AK33" s="25"/>
      <c r="AL33" s="26"/>
      <c r="AM33" s="24"/>
      <c r="AN33" s="25"/>
      <c r="AO33" s="26"/>
      <c r="AP33" s="24"/>
      <c r="AQ33" s="25"/>
      <c r="AR33" s="26"/>
      <c r="AS33" s="24"/>
      <c r="AT33" s="25"/>
    </row>
    <row r="34" spans="1:46">
      <c r="A34" s="57"/>
      <c r="B34" s="17"/>
      <c r="C34" s="24" t="s">
        <v>69</v>
      </c>
      <c r="D34" s="25">
        <v>1155</v>
      </c>
      <c r="E34" s="21"/>
      <c r="F34" s="44" t="s">
        <v>479</v>
      </c>
      <c r="G34" s="25">
        <v>669</v>
      </c>
      <c r="H34" s="21"/>
      <c r="I34" s="20" t="s">
        <v>160</v>
      </c>
      <c r="J34" s="18">
        <v>536</v>
      </c>
      <c r="K34" s="21"/>
      <c r="L34" s="21"/>
      <c r="M34" s="18"/>
      <c r="N34" s="21"/>
      <c r="O34" s="21"/>
      <c r="P34" s="18"/>
      <c r="Q34" s="21"/>
      <c r="R34" s="43" t="s">
        <v>453</v>
      </c>
      <c r="S34" s="25">
        <v>251</v>
      </c>
      <c r="T34" s="21"/>
      <c r="U34" s="17"/>
      <c r="V34" s="18"/>
      <c r="W34" s="21"/>
      <c r="X34" s="17"/>
      <c r="Y34" s="18"/>
      <c r="Z34" s="21"/>
      <c r="AA34" s="21"/>
      <c r="AB34" s="18"/>
      <c r="AC34" s="21"/>
      <c r="AD34" s="17"/>
      <c r="AE34" s="18"/>
      <c r="AF34" s="21"/>
      <c r="AG34" s="17"/>
      <c r="AH34" s="18"/>
      <c r="AI34" s="21"/>
      <c r="AJ34" s="17"/>
      <c r="AK34" s="18"/>
      <c r="AL34" s="21"/>
      <c r="AM34" s="17"/>
      <c r="AN34" s="18"/>
      <c r="AO34" s="21"/>
      <c r="AP34" s="17"/>
      <c r="AQ34" s="18"/>
      <c r="AR34" s="21"/>
      <c r="AS34" s="17"/>
      <c r="AT34" s="18"/>
    </row>
    <row r="35" spans="1:46">
      <c r="B35" s="24"/>
      <c r="C35" s="24" t="s">
        <v>70</v>
      </c>
      <c r="D35" s="18">
        <v>1138</v>
      </c>
      <c r="E35" s="30"/>
      <c r="F35" s="26" t="s">
        <v>117</v>
      </c>
      <c r="G35" s="18">
        <v>669</v>
      </c>
      <c r="H35" s="34"/>
      <c r="I35" s="24" t="s">
        <v>163</v>
      </c>
      <c r="J35" s="18">
        <v>528</v>
      </c>
      <c r="K35" s="30"/>
      <c r="L35" s="26"/>
      <c r="M35" s="25"/>
      <c r="N35" s="26"/>
      <c r="O35" s="26"/>
      <c r="P35" s="25"/>
      <c r="Q35" s="26"/>
      <c r="R35" s="48" t="s">
        <v>278</v>
      </c>
      <c r="S35" s="25">
        <v>233</v>
      </c>
      <c r="T35" s="26"/>
      <c r="U35" s="24"/>
      <c r="V35" s="25"/>
      <c r="W35" s="26"/>
      <c r="X35" s="24"/>
      <c r="Y35" s="25"/>
      <c r="Z35" s="26"/>
      <c r="AA35" s="26"/>
      <c r="AB35" s="25"/>
      <c r="AC35" s="30"/>
      <c r="AD35" s="24"/>
      <c r="AE35" s="25"/>
      <c r="AF35" s="26"/>
      <c r="AG35" s="24"/>
      <c r="AH35" s="25"/>
      <c r="AI35" s="26"/>
      <c r="AJ35" s="24"/>
      <c r="AK35" s="25"/>
      <c r="AL35" s="26"/>
      <c r="AM35" s="24"/>
      <c r="AN35" s="25"/>
      <c r="AO35" s="26"/>
      <c r="AP35" s="24"/>
      <c r="AQ35" s="25"/>
      <c r="AR35" s="26"/>
      <c r="AS35" s="24"/>
      <c r="AT35" s="25"/>
    </row>
    <row r="36" spans="1:46">
      <c r="A36" s="31"/>
      <c r="B36" s="17"/>
      <c r="C36" s="24" t="s">
        <v>72</v>
      </c>
      <c r="D36" s="25">
        <v>1015</v>
      </c>
      <c r="E36" s="21"/>
      <c r="F36" s="27" t="s">
        <v>118</v>
      </c>
      <c r="G36" s="25">
        <v>659</v>
      </c>
      <c r="H36" s="21"/>
      <c r="I36" s="28" t="s">
        <v>165</v>
      </c>
      <c r="J36" s="25">
        <v>515</v>
      </c>
      <c r="K36" s="21"/>
      <c r="L36" s="21"/>
      <c r="M36" s="18"/>
      <c r="N36" s="21"/>
      <c r="O36" s="21"/>
      <c r="P36" s="18"/>
      <c r="Q36" s="21"/>
      <c r="R36" s="48" t="s">
        <v>261</v>
      </c>
      <c r="S36" s="25">
        <v>197</v>
      </c>
      <c r="T36" s="21"/>
      <c r="U36" s="17"/>
      <c r="V36" s="18"/>
      <c r="W36" s="21"/>
      <c r="X36" s="17"/>
      <c r="Y36" s="18"/>
      <c r="Z36" s="21"/>
      <c r="AA36" s="21"/>
      <c r="AB36" s="18"/>
      <c r="AC36" s="21"/>
      <c r="AD36" s="17"/>
      <c r="AE36" s="18"/>
      <c r="AF36" s="21"/>
      <c r="AG36" s="17"/>
      <c r="AH36" s="18"/>
      <c r="AI36" s="21"/>
      <c r="AJ36" s="17"/>
      <c r="AK36" s="18"/>
      <c r="AL36" s="21"/>
      <c r="AM36" s="17"/>
      <c r="AN36" s="18"/>
      <c r="AO36" s="21"/>
      <c r="AP36" s="17"/>
      <c r="AQ36" s="18"/>
      <c r="AR36" s="21"/>
      <c r="AS36" s="17"/>
      <c r="AT36" s="18"/>
    </row>
    <row r="37" spans="1:46">
      <c r="A37" s="29"/>
      <c r="B37" s="24"/>
      <c r="C37" s="24" t="s">
        <v>73</v>
      </c>
      <c r="D37" s="18">
        <v>995</v>
      </c>
      <c r="E37" s="24"/>
      <c r="F37" s="26" t="s">
        <v>119</v>
      </c>
      <c r="G37" s="18">
        <v>586</v>
      </c>
      <c r="H37" s="24"/>
      <c r="I37" s="28" t="s">
        <v>167</v>
      </c>
      <c r="J37" s="25">
        <v>514</v>
      </c>
      <c r="K37" s="24"/>
      <c r="L37" s="26"/>
      <c r="M37" s="25"/>
      <c r="N37" s="26"/>
      <c r="O37" s="26"/>
      <c r="P37" s="25"/>
      <c r="Q37" s="26"/>
      <c r="R37" s="48" t="s">
        <v>243</v>
      </c>
      <c r="S37" s="25">
        <v>184</v>
      </c>
      <c r="T37" s="26"/>
      <c r="U37" s="24"/>
      <c r="V37" s="25"/>
      <c r="W37" s="26"/>
      <c r="X37" s="24"/>
      <c r="Y37" s="25"/>
      <c r="Z37" s="26"/>
      <c r="AA37" s="26"/>
      <c r="AB37" s="25"/>
      <c r="AC37" s="30"/>
      <c r="AD37" s="24"/>
      <c r="AE37" s="25"/>
      <c r="AF37" s="26"/>
      <c r="AG37" s="24"/>
      <c r="AH37" s="25"/>
      <c r="AI37" s="26"/>
      <c r="AJ37" s="24"/>
      <c r="AK37" s="25"/>
      <c r="AL37" s="26"/>
      <c r="AM37" s="24"/>
      <c r="AN37" s="25"/>
      <c r="AO37" s="26"/>
      <c r="AP37" s="24"/>
      <c r="AQ37" s="25"/>
      <c r="AR37" s="26"/>
      <c r="AS37" s="24"/>
      <c r="AT37" s="25"/>
    </row>
    <row r="38" spans="1:46">
      <c r="A38" s="31"/>
      <c r="B38" s="17"/>
      <c r="C38" s="24" t="s">
        <v>75</v>
      </c>
      <c r="D38" s="25">
        <v>926</v>
      </c>
      <c r="E38" s="21"/>
      <c r="F38" s="27" t="s">
        <v>120</v>
      </c>
      <c r="G38" s="25">
        <v>584</v>
      </c>
      <c r="H38" s="21"/>
      <c r="I38" s="20" t="s">
        <v>166</v>
      </c>
      <c r="J38" s="18">
        <v>514</v>
      </c>
      <c r="K38" s="21"/>
      <c r="L38" s="21"/>
      <c r="M38" s="18"/>
      <c r="N38" s="21"/>
      <c r="O38" s="21"/>
      <c r="P38" s="18"/>
      <c r="Q38" s="21"/>
      <c r="R38" s="43" t="s">
        <v>460</v>
      </c>
      <c r="S38" s="18">
        <v>166</v>
      </c>
      <c r="T38" s="21"/>
      <c r="U38" s="17"/>
      <c r="V38" s="18"/>
      <c r="W38" s="21"/>
      <c r="X38" s="17"/>
      <c r="Y38" s="18"/>
      <c r="Z38" s="21"/>
      <c r="AA38" s="21"/>
      <c r="AB38" s="18"/>
      <c r="AC38" s="21"/>
      <c r="AD38" s="17"/>
      <c r="AE38" s="18"/>
      <c r="AF38" s="21"/>
      <c r="AG38" s="17"/>
      <c r="AH38" s="18"/>
      <c r="AI38" s="21"/>
      <c r="AJ38" s="17"/>
      <c r="AK38" s="18"/>
      <c r="AL38" s="21"/>
      <c r="AM38" s="17"/>
      <c r="AN38" s="18"/>
      <c r="AO38" s="21"/>
      <c r="AP38" s="17"/>
      <c r="AQ38" s="18"/>
      <c r="AR38" s="21"/>
      <c r="AS38" s="17"/>
      <c r="AT38" s="18"/>
    </row>
    <row r="39" spans="1:46">
      <c r="A39" s="29"/>
      <c r="B39" s="24"/>
      <c r="C39" s="24" t="s">
        <v>76</v>
      </c>
      <c r="D39" s="18">
        <v>925</v>
      </c>
      <c r="E39" s="24"/>
      <c r="F39" s="26" t="s">
        <v>121</v>
      </c>
      <c r="G39" s="18">
        <v>569</v>
      </c>
      <c r="H39" s="24"/>
      <c r="I39" s="26" t="s">
        <v>168</v>
      </c>
      <c r="J39" s="18">
        <v>488</v>
      </c>
      <c r="K39" s="24"/>
      <c r="L39" s="26"/>
      <c r="M39" s="25"/>
      <c r="N39" s="26"/>
      <c r="O39" s="26"/>
      <c r="P39" s="25"/>
      <c r="Q39" s="26"/>
      <c r="R39" s="26"/>
      <c r="S39" s="25"/>
      <c r="T39" s="26"/>
      <c r="U39" s="24"/>
      <c r="V39" s="25"/>
      <c r="W39" s="26"/>
      <c r="X39" s="24"/>
      <c r="Y39" s="25"/>
      <c r="Z39" s="26"/>
      <c r="AA39" s="26"/>
      <c r="AB39" s="25"/>
      <c r="AC39" s="30"/>
      <c r="AD39" s="24"/>
      <c r="AE39" s="25"/>
      <c r="AF39" s="26"/>
      <c r="AG39" s="24"/>
      <c r="AH39" s="25"/>
      <c r="AI39" s="26"/>
      <c r="AJ39" s="24"/>
      <c r="AK39" s="25"/>
      <c r="AL39" s="26"/>
      <c r="AM39" s="24"/>
      <c r="AN39" s="25"/>
      <c r="AO39" s="26"/>
      <c r="AP39" s="24"/>
      <c r="AQ39" s="25"/>
      <c r="AR39" s="26"/>
      <c r="AS39" s="24"/>
      <c r="AT39" s="25"/>
    </row>
    <row r="40" spans="1:46">
      <c r="A40" s="31"/>
      <c r="B40" s="17"/>
      <c r="C40" s="45" t="s">
        <v>77</v>
      </c>
      <c r="D40" s="18">
        <v>908</v>
      </c>
      <c r="E40" s="21"/>
      <c r="F40" s="27" t="s">
        <v>122</v>
      </c>
      <c r="G40" s="25">
        <v>568</v>
      </c>
      <c r="H40" s="21"/>
      <c r="I40" s="28" t="s">
        <v>169</v>
      </c>
      <c r="J40" s="25">
        <v>486</v>
      </c>
      <c r="K40" s="21"/>
      <c r="L40" s="21"/>
      <c r="M40" s="18"/>
      <c r="N40" s="21"/>
      <c r="O40" s="21"/>
      <c r="P40" s="18"/>
      <c r="Q40" s="21"/>
      <c r="R40" s="21"/>
      <c r="S40" s="18"/>
      <c r="T40" s="21"/>
      <c r="U40" s="17"/>
      <c r="V40" s="18"/>
      <c r="W40" s="21"/>
      <c r="X40" s="17"/>
      <c r="Y40" s="18"/>
      <c r="Z40" s="21"/>
      <c r="AA40" s="21"/>
      <c r="AB40" s="18"/>
      <c r="AC40" s="21"/>
      <c r="AD40" s="17"/>
      <c r="AE40" s="18"/>
      <c r="AF40" s="21"/>
      <c r="AG40" s="17"/>
      <c r="AH40" s="18"/>
      <c r="AI40" s="21"/>
      <c r="AJ40" s="17"/>
      <c r="AK40" s="18"/>
      <c r="AL40" s="21"/>
      <c r="AM40" s="17"/>
      <c r="AN40" s="18"/>
      <c r="AO40" s="21"/>
      <c r="AP40" s="17"/>
      <c r="AQ40" s="18"/>
      <c r="AR40" s="21"/>
      <c r="AS40" s="17"/>
      <c r="AT40" s="18"/>
    </row>
    <row r="41" spans="1:46">
      <c r="A41" s="29"/>
      <c r="B41" s="24"/>
      <c r="C41" s="24" t="s">
        <v>78</v>
      </c>
      <c r="D41" s="25">
        <v>887</v>
      </c>
      <c r="E41" s="24"/>
      <c r="F41" s="44" t="s">
        <v>478</v>
      </c>
      <c r="G41" s="18">
        <v>566</v>
      </c>
      <c r="H41" s="24"/>
      <c r="I41" s="28" t="s">
        <v>170</v>
      </c>
      <c r="J41" s="25">
        <v>457</v>
      </c>
      <c r="K41" s="24"/>
      <c r="L41" s="26"/>
      <c r="M41" s="25"/>
      <c r="N41" s="26"/>
      <c r="O41" s="26"/>
      <c r="P41" s="25"/>
      <c r="Q41" s="26"/>
      <c r="R41" s="26"/>
      <c r="S41" s="25"/>
      <c r="T41" s="26"/>
      <c r="U41" s="24"/>
      <c r="V41" s="25"/>
      <c r="W41" s="26"/>
      <c r="X41" s="24"/>
      <c r="Y41" s="25"/>
      <c r="Z41" s="26"/>
      <c r="AA41" s="26"/>
      <c r="AB41" s="25"/>
      <c r="AC41" s="30"/>
      <c r="AD41" s="24"/>
      <c r="AE41" s="25"/>
      <c r="AF41" s="26"/>
      <c r="AG41" s="24"/>
      <c r="AH41" s="25"/>
      <c r="AI41" s="26"/>
      <c r="AJ41" s="24"/>
      <c r="AK41" s="25"/>
      <c r="AL41" s="26"/>
      <c r="AM41" s="24"/>
      <c r="AN41" s="25"/>
      <c r="AO41" s="26"/>
      <c r="AP41" s="24"/>
      <c r="AQ41" s="25"/>
      <c r="AR41" s="26"/>
      <c r="AS41" s="24"/>
      <c r="AT41" s="25"/>
    </row>
    <row r="42" spans="1:46">
      <c r="A42" s="15"/>
      <c r="B42" s="17"/>
      <c r="C42" s="17" t="s">
        <v>79</v>
      </c>
      <c r="D42" s="18">
        <v>861</v>
      </c>
      <c r="E42" s="17"/>
      <c r="F42" s="19" t="s">
        <v>123</v>
      </c>
      <c r="G42" s="18">
        <v>555</v>
      </c>
      <c r="H42" s="17"/>
      <c r="I42" s="20" t="s">
        <v>171</v>
      </c>
      <c r="J42" s="18">
        <v>443</v>
      </c>
      <c r="K42" s="17"/>
      <c r="L42" s="21"/>
      <c r="M42" s="18"/>
      <c r="N42" s="21"/>
      <c r="O42" s="21"/>
      <c r="P42" s="18"/>
      <c r="Q42" s="21"/>
      <c r="R42" s="21"/>
      <c r="S42" s="18"/>
      <c r="T42" s="21"/>
      <c r="U42" s="17"/>
      <c r="V42" s="18"/>
      <c r="W42" s="21"/>
      <c r="X42" s="17"/>
      <c r="Y42" s="18"/>
      <c r="Z42" s="21"/>
      <c r="AA42" s="21"/>
      <c r="AB42" s="18"/>
      <c r="AC42" s="22"/>
      <c r="AD42" s="17"/>
      <c r="AE42" s="18"/>
      <c r="AF42" s="21"/>
      <c r="AG42" s="17"/>
      <c r="AH42" s="18"/>
      <c r="AI42" s="21"/>
      <c r="AJ42" s="17"/>
      <c r="AK42" s="18"/>
      <c r="AL42" s="21"/>
      <c r="AM42" s="17"/>
      <c r="AN42" s="18"/>
      <c r="AO42" s="21"/>
      <c r="AP42" s="17"/>
      <c r="AQ42" s="18"/>
      <c r="AR42" s="21"/>
      <c r="AS42" s="17"/>
      <c r="AT42" s="18"/>
    </row>
    <row r="43" spans="1:46">
      <c r="A43" s="29"/>
      <c r="B43" s="24"/>
      <c r="C43" s="24" t="s">
        <v>80</v>
      </c>
      <c r="D43" s="25">
        <v>819</v>
      </c>
      <c r="E43" s="24"/>
      <c r="F43" s="27" t="s">
        <v>124</v>
      </c>
      <c r="G43" s="25">
        <v>553</v>
      </c>
      <c r="H43" s="24"/>
      <c r="I43" s="49" t="s">
        <v>464</v>
      </c>
      <c r="J43" s="25">
        <v>437</v>
      </c>
      <c r="K43" s="24"/>
      <c r="L43" s="26"/>
      <c r="M43" s="25"/>
      <c r="N43" s="26"/>
      <c r="O43" s="26"/>
      <c r="P43" s="25"/>
      <c r="Q43" s="26"/>
      <c r="R43" s="26"/>
      <c r="S43" s="25"/>
      <c r="T43" s="26"/>
      <c r="U43" s="24"/>
      <c r="V43" s="25"/>
      <c r="W43" s="26"/>
      <c r="X43" s="24"/>
      <c r="Y43" s="25"/>
      <c r="Z43" s="26"/>
      <c r="AA43" s="26"/>
      <c r="AB43" s="25"/>
      <c r="AC43" s="30"/>
      <c r="AD43" s="24"/>
      <c r="AE43" s="25"/>
      <c r="AF43" s="26"/>
      <c r="AG43" s="24"/>
      <c r="AH43" s="25"/>
      <c r="AI43" s="26"/>
      <c r="AJ43" s="24"/>
      <c r="AK43" s="25"/>
      <c r="AL43" s="26"/>
      <c r="AM43" s="24"/>
      <c r="AN43" s="25"/>
      <c r="AO43" s="26"/>
      <c r="AP43" s="24"/>
      <c r="AQ43" s="25"/>
      <c r="AR43" s="26"/>
      <c r="AS43" s="24"/>
      <c r="AT43" s="25"/>
    </row>
    <row r="44" spans="1:46">
      <c r="A44" s="31"/>
      <c r="B44" s="17"/>
      <c r="C44" s="16" t="s">
        <v>81</v>
      </c>
      <c r="D44" s="18">
        <v>801</v>
      </c>
      <c r="E44" s="21"/>
      <c r="F44" s="19" t="s">
        <v>125</v>
      </c>
      <c r="G44" s="18">
        <v>546</v>
      </c>
      <c r="H44" s="21"/>
      <c r="I44" s="28" t="s">
        <v>173</v>
      </c>
      <c r="J44" s="25">
        <v>425</v>
      </c>
      <c r="K44" s="21"/>
      <c r="L44" s="21"/>
      <c r="M44" s="18"/>
      <c r="N44" s="21"/>
      <c r="O44" s="21"/>
      <c r="P44" s="18"/>
      <c r="Q44" s="21"/>
      <c r="R44" s="21"/>
      <c r="S44" s="18"/>
      <c r="T44" s="21"/>
      <c r="U44" s="17"/>
      <c r="V44" s="18"/>
      <c r="W44" s="21"/>
      <c r="X44" s="17"/>
      <c r="Y44" s="18"/>
      <c r="Z44" s="21"/>
      <c r="AA44" s="21"/>
      <c r="AB44" s="18"/>
      <c r="AC44" s="21"/>
      <c r="AD44" s="17"/>
      <c r="AE44" s="18"/>
      <c r="AF44" s="21"/>
      <c r="AG44" s="17"/>
      <c r="AH44" s="18"/>
      <c r="AI44" s="21"/>
      <c r="AJ44" s="17"/>
      <c r="AK44" s="18"/>
      <c r="AL44" s="21"/>
      <c r="AM44" s="17"/>
      <c r="AN44" s="18"/>
      <c r="AO44" s="21"/>
      <c r="AP44" s="17"/>
      <c r="AQ44" s="18"/>
      <c r="AR44" s="21"/>
      <c r="AS44" s="17"/>
      <c r="AT44" s="18"/>
    </row>
    <row r="45" spans="1:46">
      <c r="A45" s="23"/>
      <c r="B45" s="24"/>
      <c r="C45" s="24" t="s">
        <v>82</v>
      </c>
      <c r="D45" s="25">
        <v>741</v>
      </c>
      <c r="E45" s="26"/>
      <c r="F45" s="44" t="s">
        <v>480</v>
      </c>
      <c r="G45" s="25">
        <v>544</v>
      </c>
      <c r="H45" s="26"/>
      <c r="I45" s="24" t="s">
        <v>172</v>
      </c>
      <c r="J45" s="18">
        <v>410</v>
      </c>
      <c r="K45" s="26"/>
      <c r="L45" s="26"/>
      <c r="M45" s="25"/>
      <c r="N45" s="26"/>
      <c r="O45" s="26"/>
      <c r="P45" s="25"/>
      <c r="Q45" s="26"/>
      <c r="R45" s="26"/>
      <c r="S45" s="25"/>
      <c r="T45" s="26"/>
      <c r="U45" s="24"/>
      <c r="V45" s="25"/>
      <c r="W45" s="26"/>
      <c r="X45" s="24"/>
      <c r="Y45" s="25"/>
      <c r="Z45" s="26"/>
      <c r="AA45" s="26"/>
      <c r="AB45" s="25"/>
      <c r="AC45" s="26"/>
      <c r="AD45" s="24"/>
      <c r="AE45" s="25"/>
      <c r="AF45" s="26"/>
      <c r="AG45" s="24"/>
      <c r="AH45" s="25"/>
      <c r="AI45" s="26"/>
      <c r="AJ45" s="24"/>
      <c r="AK45" s="25"/>
      <c r="AL45" s="26"/>
      <c r="AM45" s="24"/>
      <c r="AN45" s="25"/>
      <c r="AO45" s="26"/>
      <c r="AP45" s="24"/>
      <c r="AQ45" s="25"/>
      <c r="AR45" s="26"/>
      <c r="AS45" s="24"/>
      <c r="AT45" s="25"/>
    </row>
    <row r="46" spans="1:46">
      <c r="A46" s="31"/>
      <c r="B46" s="17"/>
      <c r="C46" s="17" t="s">
        <v>83</v>
      </c>
      <c r="D46" s="18">
        <v>692</v>
      </c>
      <c r="E46" s="21"/>
      <c r="F46" s="27" t="s">
        <v>126</v>
      </c>
      <c r="G46" s="25">
        <v>533</v>
      </c>
      <c r="H46" s="21"/>
      <c r="I46" s="28" t="s">
        <v>174</v>
      </c>
      <c r="J46" s="25">
        <v>388</v>
      </c>
      <c r="K46" s="21"/>
      <c r="L46" s="21"/>
      <c r="M46" s="18"/>
      <c r="N46" s="21"/>
      <c r="O46" s="21"/>
      <c r="P46" s="18"/>
      <c r="Q46" s="21"/>
      <c r="R46" s="21"/>
      <c r="S46" s="18"/>
      <c r="T46" s="21"/>
      <c r="U46" s="17"/>
      <c r="V46" s="18"/>
      <c r="W46" s="21"/>
      <c r="X46" s="17"/>
      <c r="Y46" s="18"/>
      <c r="Z46" s="21"/>
      <c r="AA46" s="21"/>
      <c r="AB46" s="18"/>
      <c r="AC46" s="21"/>
      <c r="AD46" s="17"/>
      <c r="AE46" s="18"/>
      <c r="AF46" s="21"/>
      <c r="AG46" s="17"/>
      <c r="AH46" s="18"/>
      <c r="AI46" s="21"/>
      <c r="AJ46" s="17"/>
      <c r="AK46" s="18"/>
      <c r="AL46" s="21"/>
      <c r="AM46" s="17"/>
      <c r="AN46" s="18"/>
      <c r="AO46" s="21"/>
      <c r="AP46" s="17"/>
      <c r="AQ46" s="18"/>
      <c r="AR46" s="21"/>
      <c r="AS46" s="17"/>
      <c r="AT46" s="18"/>
    </row>
    <row r="47" spans="1:46">
      <c r="A47" s="23"/>
      <c r="B47" s="24"/>
      <c r="C47" s="24" t="s">
        <v>84</v>
      </c>
      <c r="D47" s="25">
        <v>666</v>
      </c>
      <c r="E47" s="24"/>
      <c r="F47" s="26" t="s">
        <v>127</v>
      </c>
      <c r="G47" s="18">
        <v>531</v>
      </c>
      <c r="H47" s="24"/>
      <c r="I47" s="2" t="s">
        <v>175</v>
      </c>
      <c r="J47" s="25">
        <v>369</v>
      </c>
      <c r="K47" s="24"/>
      <c r="L47" s="26"/>
      <c r="M47" s="25"/>
      <c r="N47" s="30"/>
      <c r="O47" s="26"/>
      <c r="P47" s="25"/>
      <c r="Q47" s="30"/>
      <c r="R47" s="26"/>
      <c r="S47" s="25"/>
      <c r="T47" s="30"/>
      <c r="U47" s="24"/>
      <c r="V47" s="25"/>
      <c r="W47" s="30"/>
      <c r="X47" s="24"/>
      <c r="Y47" s="25"/>
      <c r="Z47" s="30"/>
      <c r="AA47" s="26"/>
      <c r="AB47" s="25"/>
      <c r="AC47" s="30"/>
      <c r="AD47" s="24"/>
      <c r="AE47" s="25"/>
      <c r="AF47" s="26"/>
      <c r="AG47" s="24"/>
      <c r="AH47" s="25"/>
      <c r="AI47" s="26"/>
      <c r="AJ47" s="24"/>
      <c r="AK47" s="25"/>
      <c r="AL47" s="26"/>
      <c r="AM47" s="24"/>
      <c r="AN47" s="25"/>
      <c r="AO47" s="26"/>
      <c r="AP47" s="24"/>
      <c r="AQ47" s="25"/>
      <c r="AR47" s="26"/>
      <c r="AS47" s="24"/>
      <c r="AT47" s="25"/>
    </row>
    <row r="48" spans="1:46">
      <c r="A48" s="35"/>
      <c r="B48" s="16"/>
      <c r="C48" s="44" t="s">
        <v>483</v>
      </c>
      <c r="D48" s="25">
        <v>666</v>
      </c>
      <c r="E48" s="17"/>
      <c r="F48" s="27" t="s">
        <v>128</v>
      </c>
      <c r="G48" s="25">
        <v>516</v>
      </c>
      <c r="H48" s="17"/>
      <c r="I48" s="44" t="s">
        <v>466</v>
      </c>
      <c r="J48" s="38">
        <v>346</v>
      </c>
      <c r="K48" s="16"/>
      <c r="L48" s="21"/>
      <c r="M48" s="18"/>
      <c r="N48" s="21"/>
      <c r="O48" s="21"/>
      <c r="P48" s="18"/>
      <c r="Q48" s="17"/>
      <c r="R48" s="21"/>
      <c r="S48" s="18"/>
      <c r="T48" s="17"/>
      <c r="U48" s="17"/>
      <c r="V48" s="18"/>
      <c r="W48" s="21"/>
      <c r="X48" s="17"/>
      <c r="Y48" s="18"/>
      <c r="Z48" s="17"/>
      <c r="AA48" s="21"/>
      <c r="AB48" s="18"/>
      <c r="AC48" s="17"/>
      <c r="AD48" s="17"/>
      <c r="AE48" s="18"/>
      <c r="AF48" s="21"/>
      <c r="AG48" s="17"/>
      <c r="AH48" s="18"/>
      <c r="AI48" s="21"/>
      <c r="AJ48" s="17"/>
      <c r="AK48" s="18"/>
      <c r="AL48" s="21"/>
      <c r="AM48" s="17"/>
      <c r="AN48" s="18"/>
      <c r="AO48" s="21"/>
      <c r="AP48" s="17"/>
      <c r="AQ48" s="18"/>
      <c r="AR48" s="21"/>
      <c r="AS48" s="17"/>
      <c r="AT48" s="18"/>
    </row>
    <row r="49" spans="1:46">
      <c r="A49" s="23"/>
      <c r="B49" s="24"/>
      <c r="C49" s="24" t="s">
        <v>85</v>
      </c>
      <c r="D49" s="18">
        <v>653</v>
      </c>
      <c r="E49" s="26"/>
      <c r="F49" s="26" t="s">
        <v>129</v>
      </c>
      <c r="G49" s="18">
        <v>513</v>
      </c>
      <c r="H49" s="26"/>
      <c r="I49" s="24" t="s">
        <v>176</v>
      </c>
      <c r="J49" s="18">
        <v>339</v>
      </c>
      <c r="K49" s="26"/>
      <c r="L49" s="26"/>
      <c r="M49" s="25"/>
      <c r="N49" s="26"/>
      <c r="O49" s="26"/>
      <c r="P49" s="25"/>
      <c r="Q49" s="26"/>
      <c r="R49" s="26"/>
      <c r="S49" s="25"/>
      <c r="T49" s="26"/>
      <c r="U49" s="24"/>
      <c r="V49" s="25"/>
      <c r="W49" s="26"/>
      <c r="X49" s="24"/>
      <c r="Y49" s="25"/>
      <c r="Z49" s="26"/>
      <c r="AA49" s="26"/>
      <c r="AB49" s="25"/>
      <c r="AC49" s="26"/>
      <c r="AD49" s="24"/>
      <c r="AE49" s="25"/>
      <c r="AF49" s="26"/>
      <c r="AG49" s="24"/>
      <c r="AH49" s="25"/>
      <c r="AI49" s="26"/>
      <c r="AJ49" s="24"/>
      <c r="AK49" s="25"/>
      <c r="AL49" s="26"/>
      <c r="AM49" s="24"/>
      <c r="AN49" s="25"/>
      <c r="AO49" s="26"/>
      <c r="AP49" s="24"/>
      <c r="AQ49" s="25"/>
      <c r="AR49" s="26"/>
      <c r="AS49" s="24"/>
      <c r="AT49" s="25"/>
    </row>
    <row r="50" spans="1:46">
      <c r="A50" s="31"/>
      <c r="B50" s="17"/>
      <c r="C50" s="44" t="s">
        <v>488</v>
      </c>
      <c r="D50" s="38">
        <v>551</v>
      </c>
      <c r="E50" s="21"/>
      <c r="F50" s="27" t="s">
        <v>130</v>
      </c>
      <c r="G50" s="25">
        <v>504</v>
      </c>
      <c r="H50" s="21"/>
      <c r="I50" s="28" t="s">
        <v>251</v>
      </c>
      <c r="J50" s="25">
        <v>331</v>
      </c>
      <c r="K50" s="21"/>
      <c r="L50" s="21"/>
      <c r="M50" s="18"/>
      <c r="N50" s="21"/>
      <c r="O50" s="21"/>
      <c r="P50" s="18"/>
      <c r="Q50" s="21"/>
      <c r="R50" s="21"/>
      <c r="S50" s="18"/>
      <c r="T50" s="21"/>
      <c r="U50" s="17"/>
      <c r="V50" s="18"/>
      <c r="W50" s="21"/>
      <c r="X50" s="17"/>
      <c r="Y50" s="18"/>
      <c r="Z50" s="21"/>
      <c r="AA50" s="21"/>
      <c r="AB50" s="18"/>
      <c r="AC50" s="21"/>
      <c r="AD50" s="17"/>
      <c r="AE50" s="18"/>
      <c r="AF50" s="21"/>
      <c r="AG50" s="17"/>
      <c r="AH50" s="18"/>
      <c r="AI50" s="21"/>
      <c r="AJ50" s="17"/>
      <c r="AK50" s="18"/>
      <c r="AL50" s="21"/>
      <c r="AM50" s="17"/>
      <c r="AN50" s="18"/>
      <c r="AO50" s="21"/>
      <c r="AP50" s="17"/>
      <c r="AQ50" s="18"/>
      <c r="AR50" s="21"/>
      <c r="AS50" s="46"/>
      <c r="AT50" s="18"/>
    </row>
    <row r="51" spans="1:46">
      <c r="A51" s="29"/>
      <c r="B51" s="24"/>
      <c r="C51" s="44" t="s">
        <v>482</v>
      </c>
      <c r="D51" s="18">
        <v>502</v>
      </c>
      <c r="E51" s="24"/>
      <c r="F51" s="26" t="s">
        <v>131</v>
      </c>
      <c r="G51" s="18">
        <v>485</v>
      </c>
      <c r="H51" s="24"/>
      <c r="I51" s="28" t="s">
        <v>177</v>
      </c>
      <c r="J51" s="25">
        <v>330</v>
      </c>
      <c r="K51" s="24"/>
      <c r="L51" s="26"/>
      <c r="M51" s="25"/>
      <c r="N51" s="26"/>
      <c r="O51" s="26"/>
      <c r="P51" s="25"/>
      <c r="Q51" s="26"/>
      <c r="R51" s="26"/>
      <c r="S51" s="25"/>
      <c r="T51" s="26"/>
      <c r="U51" s="24"/>
      <c r="V51" s="25"/>
      <c r="W51" s="26"/>
      <c r="X51" s="24"/>
      <c r="Y51" s="25"/>
      <c r="Z51" s="26"/>
      <c r="AA51" s="26"/>
      <c r="AB51" s="25"/>
      <c r="AC51" s="30"/>
      <c r="AD51" s="24"/>
      <c r="AE51" s="25"/>
      <c r="AF51" s="26"/>
      <c r="AG51" s="24"/>
      <c r="AH51" s="25"/>
      <c r="AI51" s="26"/>
      <c r="AJ51" s="24"/>
      <c r="AK51" s="25"/>
      <c r="AL51" s="26"/>
      <c r="AM51" s="24"/>
      <c r="AN51" s="25"/>
      <c r="AO51" s="26"/>
      <c r="AP51" s="24"/>
      <c r="AQ51" s="25"/>
      <c r="AR51" s="26"/>
      <c r="AS51" s="24"/>
      <c r="AT51" s="25"/>
    </row>
    <row r="52" spans="1:46">
      <c r="A52" s="31"/>
      <c r="B52" s="17"/>
      <c r="C52" s="44" t="s">
        <v>491</v>
      </c>
      <c r="D52" s="25">
        <v>475</v>
      </c>
      <c r="E52" s="21"/>
      <c r="F52" s="27" t="s">
        <v>132</v>
      </c>
      <c r="G52" s="25">
        <v>484</v>
      </c>
      <c r="H52" s="21"/>
      <c r="I52" s="24" t="s">
        <v>179</v>
      </c>
      <c r="J52" s="18">
        <v>326</v>
      </c>
      <c r="K52" s="21"/>
      <c r="L52" s="21"/>
      <c r="M52" s="18"/>
      <c r="N52" s="21"/>
      <c r="O52" s="21"/>
      <c r="P52" s="18"/>
      <c r="Q52" s="21"/>
      <c r="R52" s="21"/>
      <c r="S52" s="18"/>
      <c r="T52" s="21"/>
      <c r="U52" s="17"/>
      <c r="V52" s="18"/>
      <c r="W52" s="21"/>
      <c r="X52" s="17"/>
      <c r="Y52" s="18"/>
      <c r="Z52" s="21"/>
      <c r="AA52" s="21"/>
      <c r="AB52" s="18"/>
      <c r="AC52" s="21"/>
      <c r="AD52" s="17"/>
      <c r="AE52" s="18"/>
      <c r="AF52" s="21"/>
      <c r="AG52" s="17"/>
      <c r="AH52" s="18"/>
      <c r="AI52" s="21"/>
      <c r="AJ52" s="17"/>
      <c r="AK52" s="18"/>
      <c r="AL52" s="21"/>
      <c r="AM52" s="17"/>
      <c r="AN52" s="18"/>
      <c r="AO52" s="21"/>
      <c r="AP52" s="17"/>
      <c r="AQ52" s="18"/>
      <c r="AR52" s="21"/>
      <c r="AS52" s="17"/>
      <c r="AT52" s="18"/>
    </row>
    <row r="53" spans="1:46">
      <c r="A53" s="23"/>
      <c r="B53" s="24"/>
      <c r="C53" s="44" t="s">
        <v>489</v>
      </c>
      <c r="D53" s="36">
        <v>475</v>
      </c>
      <c r="E53" s="26"/>
      <c r="F53" s="24" t="s">
        <v>133</v>
      </c>
      <c r="G53" s="18">
        <v>470</v>
      </c>
      <c r="H53" s="26"/>
      <c r="I53" s="2" t="s">
        <v>182</v>
      </c>
      <c r="J53" s="25">
        <v>326</v>
      </c>
      <c r="K53" s="26"/>
      <c r="L53" s="26"/>
      <c r="M53" s="25"/>
      <c r="N53" s="26"/>
      <c r="O53" s="26"/>
      <c r="P53" s="25"/>
      <c r="Q53" s="26"/>
      <c r="R53" s="26"/>
      <c r="S53" s="25"/>
      <c r="T53" s="26"/>
      <c r="U53" s="24"/>
      <c r="V53" s="25"/>
      <c r="W53" s="26"/>
      <c r="X53" s="24"/>
      <c r="Y53" s="25"/>
      <c r="Z53" s="26"/>
      <c r="AA53" s="26"/>
      <c r="AB53" s="25"/>
      <c r="AC53" s="26"/>
      <c r="AD53" s="24"/>
      <c r="AE53" s="25"/>
      <c r="AF53" s="26"/>
      <c r="AG53" s="24"/>
      <c r="AH53" s="25"/>
      <c r="AI53" s="26"/>
      <c r="AJ53" s="24"/>
      <c r="AK53" s="25"/>
      <c r="AL53" s="26"/>
      <c r="AM53" s="24"/>
      <c r="AN53" s="25"/>
      <c r="AO53" s="26"/>
      <c r="AP53" s="24"/>
      <c r="AQ53" s="25"/>
      <c r="AR53" s="26"/>
      <c r="AS53" s="24"/>
      <c r="AT53" s="25"/>
    </row>
    <row r="54" spans="1:46">
      <c r="A54" s="31"/>
      <c r="B54" s="17"/>
      <c r="C54" s="1" t="s">
        <v>86</v>
      </c>
      <c r="D54" s="25">
        <v>410</v>
      </c>
      <c r="E54" s="21"/>
      <c r="F54" s="27" t="s">
        <v>134</v>
      </c>
      <c r="G54" s="25">
        <v>456</v>
      </c>
      <c r="H54" s="21"/>
      <c r="I54" s="2" t="s">
        <v>180</v>
      </c>
      <c r="J54" s="25">
        <v>316</v>
      </c>
      <c r="K54" s="21"/>
      <c r="L54" s="21"/>
      <c r="M54" s="18"/>
      <c r="N54" s="21"/>
      <c r="O54" s="21"/>
      <c r="P54" s="18"/>
      <c r="Q54" s="21"/>
      <c r="R54" s="21"/>
      <c r="S54" s="18"/>
      <c r="T54" s="21"/>
      <c r="U54" s="17"/>
      <c r="V54" s="18"/>
      <c r="W54" s="21"/>
      <c r="X54" s="17"/>
      <c r="Y54" s="18"/>
      <c r="Z54" s="21"/>
      <c r="AA54" s="21"/>
      <c r="AB54" s="18"/>
      <c r="AC54" s="21"/>
      <c r="AD54" s="17"/>
      <c r="AE54" s="18"/>
      <c r="AF54" s="21"/>
      <c r="AG54" s="17"/>
      <c r="AH54" s="18"/>
      <c r="AI54" s="21"/>
      <c r="AJ54" s="17"/>
      <c r="AK54" s="18"/>
      <c r="AL54" s="21"/>
      <c r="AM54" s="17"/>
      <c r="AN54" s="18"/>
      <c r="AO54" s="21"/>
      <c r="AP54" s="17"/>
      <c r="AQ54" s="18"/>
      <c r="AR54" s="21"/>
      <c r="AS54" s="17"/>
      <c r="AT54" s="18"/>
    </row>
    <row r="55" spans="1:46">
      <c r="A55" s="32"/>
      <c r="B55" s="24"/>
      <c r="C55" s="43" t="s">
        <v>487</v>
      </c>
      <c r="D55" s="36">
        <v>365</v>
      </c>
      <c r="E55" s="24"/>
      <c r="F55" s="24" t="s">
        <v>135</v>
      </c>
      <c r="G55" s="18">
        <v>443</v>
      </c>
      <c r="H55" s="24"/>
      <c r="I55" s="48" t="s">
        <v>181</v>
      </c>
      <c r="J55" s="18">
        <v>315</v>
      </c>
      <c r="K55" s="24"/>
      <c r="L55" s="26"/>
      <c r="M55" s="25"/>
      <c r="N55" s="26"/>
      <c r="O55" s="26"/>
      <c r="P55" s="25"/>
      <c r="Q55" s="26"/>
      <c r="R55" s="26"/>
      <c r="S55" s="25"/>
      <c r="T55" s="26"/>
      <c r="U55" s="24"/>
      <c r="V55" s="25"/>
      <c r="W55" s="26"/>
      <c r="X55" s="24"/>
      <c r="Y55" s="25"/>
      <c r="Z55" s="26"/>
      <c r="AA55" s="26"/>
      <c r="AB55" s="25"/>
      <c r="AC55" s="30"/>
      <c r="AD55" s="24"/>
      <c r="AE55" s="25"/>
      <c r="AF55" s="26"/>
      <c r="AG55" s="24"/>
      <c r="AH55" s="25"/>
      <c r="AI55" s="26"/>
      <c r="AJ55" s="24"/>
      <c r="AK55" s="25"/>
      <c r="AL55" s="26"/>
      <c r="AM55" s="24"/>
      <c r="AN55" s="25"/>
      <c r="AO55" s="26"/>
      <c r="AP55" s="24"/>
      <c r="AQ55" s="25"/>
      <c r="AR55" s="26"/>
      <c r="AS55" s="24"/>
      <c r="AT55" s="25"/>
    </row>
    <row r="56" spans="1:46">
      <c r="A56" s="31"/>
      <c r="B56" s="17"/>
      <c r="C56" s="43" t="s">
        <v>486</v>
      </c>
      <c r="D56" s="38">
        <v>323</v>
      </c>
      <c r="E56" s="37"/>
      <c r="F56" s="27" t="s">
        <v>136</v>
      </c>
      <c r="G56" s="25">
        <v>436</v>
      </c>
      <c r="H56" s="37"/>
      <c r="I56" s="1" t="s">
        <v>184</v>
      </c>
      <c r="J56" s="18">
        <v>298</v>
      </c>
      <c r="K56" s="37"/>
      <c r="L56" s="37"/>
      <c r="M56" s="38"/>
      <c r="N56" s="37"/>
      <c r="O56" s="37"/>
      <c r="P56" s="38"/>
      <c r="Q56" s="37"/>
      <c r="R56" s="37"/>
      <c r="S56" s="38"/>
      <c r="T56" s="37"/>
      <c r="U56" s="19"/>
      <c r="V56" s="38"/>
      <c r="W56" s="37"/>
      <c r="X56" s="19"/>
      <c r="Y56" s="38"/>
      <c r="Z56" s="37"/>
      <c r="AA56" s="37"/>
      <c r="AB56" s="38"/>
      <c r="AC56" s="37"/>
      <c r="AD56" s="19"/>
      <c r="AE56" s="38"/>
      <c r="AF56" s="37"/>
      <c r="AG56" s="19"/>
      <c r="AH56" s="38"/>
      <c r="AI56" s="37"/>
      <c r="AJ56" s="19"/>
      <c r="AK56" s="38"/>
      <c r="AL56" s="37"/>
      <c r="AM56" s="19"/>
      <c r="AN56" s="38"/>
      <c r="AO56" s="37"/>
      <c r="AP56" s="19"/>
      <c r="AQ56" s="38"/>
      <c r="AR56" s="37"/>
      <c r="AS56" s="19"/>
      <c r="AT56" s="38"/>
    </row>
    <row r="57" spans="1:46">
      <c r="A57" s="23"/>
      <c r="B57" s="24"/>
      <c r="C57" s="43" t="s">
        <v>490</v>
      </c>
      <c r="D57" s="25">
        <v>304</v>
      </c>
      <c r="E57" s="34"/>
      <c r="F57" s="24" t="s">
        <v>137</v>
      </c>
      <c r="G57" s="18">
        <v>398</v>
      </c>
      <c r="H57" s="34"/>
      <c r="I57" s="2" t="s">
        <v>183</v>
      </c>
      <c r="J57" s="25">
        <v>294</v>
      </c>
      <c r="K57" s="34"/>
      <c r="L57" s="34"/>
      <c r="M57" s="36"/>
      <c r="N57" s="34"/>
      <c r="O57" s="34"/>
      <c r="P57" s="36"/>
      <c r="Q57" s="34"/>
      <c r="R57" s="34"/>
      <c r="S57" s="36"/>
      <c r="T57" s="34"/>
      <c r="U57" s="27"/>
      <c r="V57" s="36"/>
      <c r="W57" s="34"/>
      <c r="X57" s="27"/>
      <c r="Y57" s="36"/>
      <c r="Z57" s="34"/>
      <c r="AA57" s="34"/>
      <c r="AB57" s="36"/>
      <c r="AC57" s="34"/>
      <c r="AD57" s="27"/>
      <c r="AE57" s="36"/>
      <c r="AF57" s="34"/>
      <c r="AG57" s="27"/>
      <c r="AH57" s="36"/>
      <c r="AI57" s="34"/>
      <c r="AJ57" s="27"/>
      <c r="AK57" s="36"/>
      <c r="AL57" s="34"/>
      <c r="AM57" s="27"/>
      <c r="AN57" s="36"/>
      <c r="AO57" s="34"/>
      <c r="AP57" s="27"/>
      <c r="AQ57" s="36"/>
      <c r="AR57" s="34"/>
      <c r="AS57" s="27"/>
      <c r="AT57" s="36"/>
    </row>
    <row r="58" spans="1:46">
      <c r="A58" s="31"/>
      <c r="B58" s="17"/>
      <c r="C58" s="43" t="s">
        <v>484</v>
      </c>
      <c r="D58" s="38">
        <v>247</v>
      </c>
      <c r="E58" s="37"/>
      <c r="F58" s="51" t="s">
        <v>178</v>
      </c>
      <c r="G58" s="38">
        <v>309</v>
      </c>
      <c r="H58" s="37"/>
      <c r="I58" s="1" t="s">
        <v>185</v>
      </c>
      <c r="J58" s="18">
        <v>286</v>
      </c>
      <c r="K58" s="37"/>
      <c r="L58" s="37"/>
      <c r="M58" s="38"/>
      <c r="N58" s="37"/>
      <c r="O58" s="37"/>
      <c r="P58" s="38"/>
      <c r="Q58" s="37"/>
      <c r="R58" s="37"/>
      <c r="S58" s="38"/>
      <c r="T58" s="37"/>
      <c r="U58" s="19"/>
      <c r="V58" s="38"/>
      <c r="W58" s="37"/>
      <c r="X58" s="19"/>
      <c r="Y58" s="38"/>
      <c r="Z58" s="37"/>
      <c r="AA58" s="37"/>
      <c r="AB58" s="38"/>
      <c r="AC58" s="37"/>
      <c r="AD58" s="19"/>
      <c r="AE58" s="38"/>
      <c r="AF58" s="37"/>
      <c r="AG58" s="19"/>
      <c r="AH58" s="38"/>
      <c r="AI58" s="37"/>
      <c r="AJ58" s="19"/>
      <c r="AK58" s="38"/>
      <c r="AL58" s="37"/>
      <c r="AM58" s="19"/>
      <c r="AN58" s="38"/>
      <c r="AO58" s="37"/>
      <c r="AP58" s="19"/>
      <c r="AQ58" s="38"/>
      <c r="AR58" s="37"/>
      <c r="AS58" s="19"/>
      <c r="AT58" s="38"/>
    </row>
    <row r="59" spans="1:46">
      <c r="A59" s="23"/>
      <c r="B59" s="24"/>
      <c r="C59" s="24" t="s">
        <v>87</v>
      </c>
      <c r="D59" s="18">
        <v>239</v>
      </c>
      <c r="E59" s="34"/>
      <c r="F59" s="43" t="s">
        <v>481</v>
      </c>
      <c r="G59" s="18">
        <v>281</v>
      </c>
      <c r="H59" s="34"/>
      <c r="I59" s="1" t="s">
        <v>258</v>
      </c>
      <c r="J59" s="18">
        <v>275</v>
      </c>
      <c r="K59" s="34"/>
      <c r="L59" s="34"/>
      <c r="M59" s="36"/>
      <c r="N59" s="34"/>
      <c r="O59" s="34"/>
      <c r="P59" s="36"/>
      <c r="Q59" s="34"/>
      <c r="R59" s="34"/>
      <c r="S59" s="36"/>
      <c r="T59" s="34"/>
      <c r="U59" s="27"/>
      <c r="V59" s="36"/>
      <c r="W59" s="34"/>
      <c r="X59" s="27"/>
      <c r="Y59" s="36"/>
      <c r="Z59" s="34"/>
      <c r="AA59" s="34"/>
      <c r="AB59" s="36"/>
      <c r="AC59" s="34"/>
      <c r="AD59" s="27"/>
      <c r="AE59" s="36"/>
      <c r="AF59" s="34"/>
      <c r="AG59" s="27"/>
      <c r="AH59" s="36"/>
      <c r="AI59" s="34"/>
      <c r="AJ59" s="27"/>
      <c r="AK59" s="36"/>
      <c r="AL59" s="34"/>
      <c r="AM59" s="27"/>
      <c r="AN59" s="36"/>
      <c r="AO59" s="34"/>
      <c r="AP59" s="27"/>
      <c r="AQ59" s="36"/>
      <c r="AR59" s="34"/>
      <c r="AS59" s="27"/>
      <c r="AT59" s="36"/>
    </row>
    <row r="60" spans="1:46">
      <c r="A60" s="31"/>
      <c r="B60" s="17"/>
      <c r="C60" s="43" t="s">
        <v>485</v>
      </c>
      <c r="D60" s="36">
        <v>191</v>
      </c>
      <c r="E60" s="37"/>
      <c r="F60" s="50" t="s">
        <v>91</v>
      </c>
      <c r="G60" s="36">
        <v>251</v>
      </c>
      <c r="H60" s="37"/>
      <c r="I60" s="43" t="s">
        <v>465</v>
      </c>
      <c r="J60" s="36">
        <v>242</v>
      </c>
      <c r="K60" s="37"/>
      <c r="L60" s="37"/>
      <c r="M60" s="38"/>
      <c r="N60" s="37"/>
      <c r="O60" s="37"/>
      <c r="P60" s="38"/>
      <c r="Q60" s="37"/>
      <c r="R60" s="37"/>
      <c r="S60" s="38"/>
      <c r="T60" s="37"/>
      <c r="U60" s="19"/>
      <c r="V60" s="38"/>
      <c r="W60" s="37"/>
      <c r="X60" s="19"/>
      <c r="Y60" s="38"/>
      <c r="Z60" s="37"/>
      <c r="AA60" s="37"/>
      <c r="AB60" s="38"/>
      <c r="AC60" s="37"/>
      <c r="AD60" s="19"/>
      <c r="AE60" s="38"/>
      <c r="AF60" s="37"/>
      <c r="AG60" s="19"/>
      <c r="AH60" s="38"/>
      <c r="AI60" s="37"/>
      <c r="AJ60" s="19"/>
      <c r="AK60" s="38"/>
      <c r="AL60" s="37"/>
      <c r="AM60" s="19"/>
      <c r="AN60" s="38"/>
      <c r="AO60" s="37"/>
      <c r="AP60" s="19"/>
      <c r="AQ60" s="38"/>
      <c r="AR60" s="37"/>
      <c r="AS60" s="19"/>
      <c r="AT60" s="38"/>
    </row>
    <row r="61" spans="1:46" ht="25.5">
      <c r="A61" s="39"/>
      <c r="B61" s="40"/>
      <c r="C61" s="1" t="s">
        <v>88</v>
      </c>
      <c r="D61" s="25">
        <v>167</v>
      </c>
      <c r="E61" s="12"/>
      <c r="F61" s="52" t="s">
        <v>473</v>
      </c>
      <c r="G61" s="36">
        <v>229</v>
      </c>
      <c r="H61" s="12"/>
      <c r="I61" s="43" t="s">
        <v>470</v>
      </c>
      <c r="J61" s="18">
        <v>235</v>
      </c>
      <c r="K61" s="12"/>
      <c r="L61" s="34"/>
      <c r="M61" s="36"/>
      <c r="N61" s="12"/>
      <c r="O61" s="34"/>
      <c r="P61" s="36"/>
      <c r="Q61" s="12"/>
      <c r="R61" s="34"/>
      <c r="S61" s="36"/>
      <c r="T61" s="12"/>
      <c r="U61" s="27"/>
      <c r="V61" s="36"/>
      <c r="W61" s="12"/>
      <c r="X61" s="27"/>
      <c r="Y61" s="36"/>
      <c r="Z61" s="12"/>
      <c r="AA61" s="34"/>
      <c r="AB61" s="36"/>
      <c r="AC61" s="12"/>
      <c r="AD61" s="27"/>
      <c r="AE61" s="36"/>
      <c r="AF61" s="12"/>
      <c r="AG61" s="27"/>
      <c r="AH61" s="36"/>
      <c r="AI61" s="12"/>
      <c r="AJ61" s="27"/>
      <c r="AK61" s="36"/>
      <c r="AL61" s="12"/>
      <c r="AM61" s="27"/>
      <c r="AN61" s="36"/>
      <c r="AO61" s="12"/>
      <c r="AP61" s="27"/>
      <c r="AQ61" s="36"/>
      <c r="AR61" s="12"/>
      <c r="AS61" s="27"/>
      <c r="AT61" s="36"/>
    </row>
    <row r="62" spans="1:46">
      <c r="A62" s="1"/>
      <c r="B62" s="1"/>
      <c r="D62" s="7"/>
      <c r="F62" s="43"/>
      <c r="G62" s="7"/>
      <c r="J62" s="7"/>
      <c r="M62" s="7"/>
      <c r="P62" s="7"/>
      <c r="S62" s="7"/>
      <c r="V62" s="7"/>
      <c r="Y62" s="6"/>
      <c r="AB62" s="7"/>
      <c r="AE62" s="7"/>
      <c r="AH62" s="7"/>
      <c r="AK62" s="7"/>
    </row>
    <row r="63" spans="1:46">
      <c r="A63" s="1"/>
      <c r="B63" s="1"/>
      <c r="D63" s="7"/>
      <c r="G63" s="7"/>
      <c r="J63" s="7"/>
      <c r="M63" s="7"/>
      <c r="P63" s="7"/>
      <c r="S63" s="7"/>
      <c r="V63" s="7"/>
      <c r="Y63" s="6"/>
      <c r="AB63" s="7"/>
      <c r="AE63" s="7"/>
      <c r="AH63" s="7"/>
      <c r="AK63" s="7"/>
    </row>
    <row r="64" spans="1:46">
      <c r="A64" s="1"/>
      <c r="B64" s="1"/>
      <c r="D64" s="7"/>
      <c r="G64" s="7"/>
      <c r="J64" s="7"/>
      <c r="M64" s="7"/>
      <c r="P64" s="7"/>
      <c r="S64" s="7"/>
      <c r="V64" s="7"/>
      <c r="Y64" s="6"/>
      <c r="AB64" s="7"/>
      <c r="AE64" s="7"/>
      <c r="AH64" s="7"/>
      <c r="AK64" s="7"/>
    </row>
    <row r="65" spans="1:37">
      <c r="A65" s="1"/>
      <c r="B65" s="1"/>
      <c r="D65" s="7"/>
      <c r="G65" s="7"/>
      <c r="J65" s="7"/>
      <c r="M65" s="7"/>
      <c r="P65" s="7"/>
      <c r="S65" s="7"/>
      <c r="V65" s="7"/>
      <c r="Y65" s="6"/>
      <c r="AB65" s="7"/>
      <c r="AE65" s="7"/>
      <c r="AH65" s="7"/>
      <c r="AK65" s="7"/>
    </row>
    <row r="66" spans="1:37">
      <c r="A66" s="1"/>
      <c r="B66" s="1"/>
      <c r="D66" s="7"/>
      <c r="G66" s="7"/>
      <c r="J66" s="7"/>
      <c r="M66" s="7"/>
      <c r="P66" s="7"/>
      <c r="S66" s="7"/>
      <c r="V66" s="7"/>
      <c r="Y66" s="6"/>
      <c r="AB66" s="7"/>
      <c r="AE66" s="7"/>
      <c r="AH66" s="7"/>
      <c r="AK66" s="7"/>
    </row>
    <row r="67" spans="1:37">
      <c r="A67" s="1"/>
      <c r="B67" s="1"/>
      <c r="D67" s="7"/>
      <c r="G67" s="7"/>
      <c r="J67" s="7"/>
      <c r="M67" s="7"/>
      <c r="P67" s="7"/>
      <c r="S67" s="7"/>
      <c r="V67" s="7"/>
      <c r="Y67" s="6"/>
      <c r="AB67" s="7"/>
      <c r="AE67" s="7"/>
      <c r="AH67" s="7"/>
      <c r="AK67" s="7"/>
    </row>
    <row r="68" spans="1:37">
      <c r="A68" s="1"/>
      <c r="B68" s="1"/>
      <c r="D68" s="7"/>
      <c r="G68" s="7"/>
      <c r="J68" s="7"/>
      <c r="M68" s="7"/>
      <c r="P68" s="7"/>
      <c r="S68" s="7"/>
      <c r="V68" s="7"/>
      <c r="Y68" s="6"/>
      <c r="AB68" s="7"/>
      <c r="AE68" s="7"/>
      <c r="AH68" s="7"/>
      <c r="AK68" s="7"/>
    </row>
    <row r="69" spans="1:37">
      <c r="A69" s="1"/>
      <c r="B69" s="1"/>
      <c r="D69" s="7"/>
      <c r="G69" s="7"/>
      <c r="J69" s="7"/>
      <c r="M69" s="7"/>
      <c r="P69" s="7"/>
      <c r="S69" s="7"/>
      <c r="V69" s="7"/>
      <c r="Y69" s="6"/>
      <c r="AB69" s="7"/>
      <c r="AE69" s="7"/>
      <c r="AH69" s="7"/>
      <c r="AK69" s="7"/>
    </row>
    <row r="70" spans="1:37">
      <c r="A70" s="1"/>
      <c r="B70" s="1"/>
      <c r="D70" s="7"/>
      <c r="G70" s="7"/>
      <c r="J70" s="7"/>
      <c r="M70" s="7"/>
      <c r="P70" s="7"/>
      <c r="S70" s="7"/>
      <c r="V70" s="7"/>
      <c r="Y70" s="6"/>
      <c r="AB70" s="7"/>
      <c r="AE70" s="7"/>
      <c r="AH70" s="7"/>
      <c r="AK70" s="7"/>
    </row>
    <row r="71" spans="1:37">
      <c r="A71" s="1"/>
      <c r="B71" s="1"/>
      <c r="D71" s="7"/>
      <c r="G71" s="7"/>
      <c r="J71" s="7"/>
      <c r="M71" s="7"/>
      <c r="P71" s="7"/>
      <c r="S71" s="7"/>
      <c r="V71" s="7"/>
      <c r="Y71" s="6"/>
      <c r="AB71" s="7"/>
      <c r="AE71" s="7"/>
      <c r="AH71" s="7"/>
      <c r="AK71" s="7"/>
    </row>
    <row r="72" spans="1:37">
      <c r="A72" s="1"/>
      <c r="B72" s="1"/>
      <c r="D72" s="7"/>
      <c r="G72" s="7"/>
      <c r="J72" s="7"/>
      <c r="M72" s="7"/>
      <c r="P72" s="7"/>
      <c r="S72" s="7"/>
      <c r="V72" s="7"/>
      <c r="Y72" s="6"/>
      <c r="AB72" s="7"/>
      <c r="AE72" s="7"/>
      <c r="AH72" s="7"/>
      <c r="AK72" s="7"/>
    </row>
    <row r="73" spans="1:37">
      <c r="A73" s="1"/>
      <c r="B73" s="1"/>
      <c r="D73" s="7"/>
      <c r="G73" s="7"/>
      <c r="J73" s="7"/>
      <c r="M73" s="7"/>
      <c r="P73" s="7"/>
      <c r="S73" s="7"/>
      <c r="V73" s="7"/>
      <c r="Y73" s="6"/>
      <c r="AB73" s="7"/>
      <c r="AE73" s="7"/>
      <c r="AH73" s="7"/>
      <c r="AK73" s="7"/>
    </row>
    <row r="74" spans="1:37">
      <c r="A74" s="1"/>
      <c r="B74" s="1"/>
      <c r="D74" s="7"/>
      <c r="G74" s="7"/>
      <c r="J74" s="7"/>
      <c r="M74" s="7"/>
      <c r="P74" s="7"/>
      <c r="S74" s="7"/>
      <c r="V74" s="7"/>
      <c r="Y74" s="6"/>
      <c r="AB74" s="7"/>
      <c r="AE74" s="7"/>
      <c r="AH74" s="7"/>
      <c r="AK74" s="7"/>
    </row>
    <row r="75" spans="1:37">
      <c r="A75" s="1"/>
      <c r="B75" s="1"/>
      <c r="D75" s="7"/>
      <c r="G75" s="7"/>
      <c r="J75" s="7"/>
      <c r="M75" s="7"/>
      <c r="P75" s="7"/>
      <c r="S75" s="7"/>
      <c r="V75" s="7"/>
      <c r="Y75" s="6"/>
      <c r="AB75" s="7"/>
      <c r="AE75" s="7"/>
      <c r="AH75" s="7"/>
      <c r="AK75" s="7"/>
    </row>
    <row r="76" spans="1:37">
      <c r="A76" s="1"/>
      <c r="B76" s="1"/>
      <c r="D76" s="7"/>
      <c r="G76" s="7"/>
      <c r="J76" s="7"/>
      <c r="M76" s="7"/>
      <c r="P76" s="7"/>
      <c r="S76" s="7"/>
      <c r="V76" s="7"/>
      <c r="Y76" s="6"/>
      <c r="AB76" s="7"/>
      <c r="AE76" s="7"/>
      <c r="AH76" s="7"/>
      <c r="AK76" s="7"/>
    </row>
    <row r="77" spans="1:37">
      <c r="A77" s="1"/>
      <c r="B77" s="1"/>
      <c r="D77" s="7"/>
      <c r="G77" s="7"/>
      <c r="J77" s="7"/>
      <c r="M77" s="7"/>
      <c r="P77" s="7"/>
      <c r="S77" s="7"/>
      <c r="V77" s="7"/>
      <c r="Y77" s="6"/>
      <c r="AB77" s="7"/>
      <c r="AE77" s="7"/>
      <c r="AH77" s="7"/>
      <c r="AK77" s="7"/>
    </row>
    <row r="78" spans="1:37">
      <c r="A78" s="1"/>
      <c r="B78" s="1"/>
      <c r="D78" s="7"/>
      <c r="G78" s="7"/>
      <c r="J78" s="7"/>
      <c r="M78" s="7"/>
      <c r="P78" s="7"/>
      <c r="S78" s="7"/>
      <c r="V78" s="7"/>
      <c r="Y78" s="6"/>
      <c r="AB78" s="7"/>
      <c r="AE78" s="7"/>
      <c r="AH78" s="7"/>
      <c r="AK78" s="7"/>
    </row>
    <row r="79" spans="1:37">
      <c r="A79" s="1"/>
      <c r="B79" s="1"/>
      <c r="D79" s="7"/>
      <c r="G79" s="7"/>
      <c r="J79" s="7"/>
      <c r="M79" s="7"/>
      <c r="P79" s="7"/>
      <c r="S79" s="7"/>
      <c r="V79" s="7"/>
      <c r="Y79" s="6"/>
      <c r="AB79" s="7"/>
      <c r="AE79" s="7"/>
      <c r="AH79" s="7"/>
      <c r="AK79" s="7"/>
    </row>
    <row r="80" spans="1:37">
      <c r="A80" s="1"/>
      <c r="B80" s="1"/>
      <c r="D80" s="7"/>
      <c r="G80" s="7"/>
      <c r="J80" s="7"/>
      <c r="M80" s="7"/>
      <c r="P80" s="7"/>
      <c r="S80" s="7"/>
      <c r="V80" s="7"/>
      <c r="Y80" s="6"/>
      <c r="AB80" s="7"/>
      <c r="AE80" s="7"/>
      <c r="AH80" s="7"/>
      <c r="AK80" s="7"/>
    </row>
    <row r="81" spans="1:37">
      <c r="A81" s="1"/>
      <c r="B81" s="1"/>
      <c r="D81" s="7"/>
      <c r="G81" s="7"/>
      <c r="J81" s="7"/>
      <c r="M81" s="7"/>
      <c r="P81" s="7"/>
      <c r="S81" s="7"/>
      <c r="V81" s="7"/>
      <c r="Y81" s="6"/>
      <c r="AB81" s="7"/>
      <c r="AE81" s="7"/>
      <c r="AH81" s="7"/>
      <c r="AK81" s="7"/>
    </row>
    <row r="82" spans="1:37">
      <c r="A82" s="1"/>
      <c r="B82" s="1"/>
      <c r="D82" s="7"/>
      <c r="G82" s="7"/>
      <c r="J82" s="7"/>
      <c r="M82" s="7"/>
      <c r="P82" s="7"/>
      <c r="S82" s="7"/>
      <c r="V82" s="7"/>
      <c r="Y82" s="6"/>
      <c r="AB82" s="7"/>
      <c r="AE82" s="7"/>
      <c r="AH82" s="7"/>
      <c r="AK82" s="7"/>
    </row>
    <row r="83" spans="1:37">
      <c r="A83" s="1"/>
      <c r="B83" s="1"/>
      <c r="D83" s="7"/>
      <c r="G83" s="7"/>
      <c r="J83" s="7"/>
      <c r="M83" s="7"/>
      <c r="P83" s="7"/>
      <c r="S83" s="7"/>
      <c r="V83" s="7"/>
      <c r="Y83" s="6"/>
      <c r="AB83" s="7"/>
      <c r="AE83" s="7"/>
      <c r="AH83" s="7"/>
      <c r="AK83" s="7"/>
    </row>
    <row r="84" spans="1:37">
      <c r="A84" s="1"/>
      <c r="B84" s="1"/>
      <c r="D84" s="7"/>
      <c r="G84" s="7"/>
      <c r="J84" s="7"/>
      <c r="M84" s="7"/>
      <c r="P84" s="7"/>
      <c r="S84" s="7"/>
      <c r="V84" s="7"/>
      <c r="Y84" s="6"/>
      <c r="AB84" s="7"/>
      <c r="AE84" s="7"/>
      <c r="AH84" s="7"/>
      <c r="AK84" s="7"/>
    </row>
    <row r="85" spans="1:37">
      <c r="A85" s="1"/>
      <c r="B85" s="1"/>
      <c r="D85" s="7"/>
      <c r="G85" s="7"/>
      <c r="J85" s="7"/>
      <c r="M85" s="7"/>
      <c r="P85" s="7"/>
      <c r="S85" s="7"/>
      <c r="V85" s="7"/>
      <c r="Y85" s="6"/>
      <c r="AB85" s="7"/>
      <c r="AE85" s="7"/>
      <c r="AH85" s="7"/>
      <c r="AK85" s="7"/>
    </row>
    <row r="86" spans="1:37">
      <c r="A86" s="1"/>
      <c r="B86" s="1"/>
      <c r="D86" s="7"/>
      <c r="G86" s="7"/>
      <c r="J86" s="7"/>
      <c r="M86" s="7"/>
      <c r="P86" s="7"/>
      <c r="S86" s="7"/>
      <c r="V86" s="7"/>
      <c r="Y86" s="6"/>
      <c r="AB86" s="7"/>
      <c r="AE86" s="7"/>
      <c r="AH86" s="7"/>
      <c r="AK86" s="7"/>
    </row>
    <row r="87" spans="1:37">
      <c r="A87" s="1"/>
      <c r="B87" s="1"/>
      <c r="D87" s="7"/>
      <c r="G87" s="7"/>
      <c r="J87" s="7"/>
      <c r="M87" s="7"/>
      <c r="P87" s="7"/>
      <c r="S87" s="7"/>
      <c r="V87" s="7"/>
      <c r="Y87" s="6"/>
      <c r="AB87" s="7"/>
      <c r="AE87" s="7"/>
      <c r="AH87" s="7"/>
      <c r="AK87" s="7"/>
    </row>
    <row r="88" spans="1:37">
      <c r="A88" s="1"/>
      <c r="B88" s="1"/>
      <c r="D88" s="7"/>
      <c r="G88" s="7"/>
      <c r="J88" s="7"/>
      <c r="M88" s="7"/>
      <c r="P88" s="7"/>
      <c r="S88" s="7"/>
      <c r="V88" s="7"/>
      <c r="Y88" s="6"/>
      <c r="AB88" s="7"/>
      <c r="AE88" s="7"/>
      <c r="AH88" s="7"/>
      <c r="AK88" s="7"/>
    </row>
    <row r="89" spans="1:37">
      <c r="A89" s="1"/>
      <c r="B89" s="1"/>
      <c r="D89" s="7"/>
      <c r="G89" s="7"/>
      <c r="J89" s="7"/>
      <c r="M89" s="7"/>
      <c r="P89" s="7"/>
      <c r="S89" s="7"/>
      <c r="V89" s="7"/>
      <c r="Y89" s="6"/>
      <c r="AB89" s="7"/>
      <c r="AE89" s="7"/>
      <c r="AH89" s="7"/>
      <c r="AK89" s="7"/>
    </row>
    <row r="90" spans="1:37">
      <c r="A90" s="1"/>
      <c r="B90" s="1"/>
      <c r="D90" s="7"/>
      <c r="G90" s="7"/>
      <c r="J90" s="7"/>
      <c r="M90" s="7"/>
      <c r="P90" s="7"/>
      <c r="S90" s="7"/>
      <c r="V90" s="7"/>
      <c r="Y90" s="6"/>
      <c r="AB90" s="7"/>
      <c r="AE90" s="7"/>
      <c r="AH90" s="7"/>
      <c r="AK90" s="7"/>
    </row>
    <row r="91" spans="1:37">
      <c r="A91" s="1"/>
      <c r="B91" s="1"/>
      <c r="D91" s="7"/>
      <c r="G91" s="7"/>
      <c r="J91" s="7"/>
      <c r="M91" s="7"/>
      <c r="P91" s="7"/>
      <c r="S91" s="7"/>
      <c r="V91" s="7"/>
      <c r="Y91" s="6"/>
      <c r="AB91" s="7"/>
      <c r="AE91" s="7"/>
      <c r="AH91" s="7"/>
      <c r="AK91" s="7"/>
    </row>
    <row r="92" spans="1:37">
      <c r="A92" s="1"/>
      <c r="B92" s="1"/>
      <c r="D92" s="7"/>
      <c r="G92" s="7"/>
      <c r="J92" s="7"/>
      <c r="M92" s="7"/>
      <c r="P92" s="7"/>
      <c r="S92" s="7"/>
      <c r="V92" s="7"/>
      <c r="Y92" s="6"/>
      <c r="AB92" s="7"/>
      <c r="AE92" s="7"/>
      <c r="AH92" s="7"/>
      <c r="AK92" s="7"/>
    </row>
    <row r="93" spans="1:37">
      <c r="A93" s="1"/>
      <c r="B93" s="1"/>
      <c r="D93" s="7"/>
      <c r="G93" s="7"/>
      <c r="J93" s="7"/>
      <c r="M93" s="7"/>
      <c r="P93" s="7"/>
      <c r="S93" s="7"/>
      <c r="V93" s="7"/>
      <c r="Y93" s="6"/>
      <c r="AB93" s="7"/>
      <c r="AE93" s="7"/>
      <c r="AH93" s="7"/>
      <c r="AK93" s="7"/>
    </row>
    <row r="94" spans="1:37">
      <c r="A94" s="1"/>
      <c r="B94" s="1"/>
      <c r="D94" s="7"/>
      <c r="G94" s="7"/>
      <c r="J94" s="7"/>
      <c r="M94" s="7"/>
      <c r="P94" s="7"/>
      <c r="S94" s="7"/>
      <c r="V94" s="7"/>
      <c r="Y94" s="6"/>
      <c r="AB94" s="7"/>
      <c r="AE94" s="7"/>
      <c r="AH94" s="7"/>
      <c r="AK94" s="7"/>
    </row>
    <row r="95" spans="1:37">
      <c r="A95" s="1"/>
      <c r="B95" s="1"/>
      <c r="D95" s="7"/>
      <c r="G95" s="7"/>
      <c r="J95" s="7"/>
      <c r="M95" s="7"/>
      <c r="P95" s="7"/>
      <c r="S95" s="7"/>
      <c r="V95" s="7"/>
      <c r="Y95" s="6"/>
      <c r="AB95" s="7"/>
      <c r="AE95" s="7"/>
      <c r="AH95" s="7"/>
      <c r="AK95" s="7"/>
    </row>
    <row r="96" spans="1:37">
      <c r="A96" s="1"/>
      <c r="B96" s="1"/>
      <c r="D96" s="7"/>
      <c r="G96" s="7"/>
      <c r="J96" s="7"/>
      <c r="M96" s="7"/>
      <c r="P96" s="7"/>
      <c r="S96" s="7"/>
      <c r="V96" s="7"/>
      <c r="Y96" s="6"/>
      <c r="AB96" s="7"/>
      <c r="AE96" s="7"/>
      <c r="AH96" s="7"/>
      <c r="AK96" s="7"/>
    </row>
    <row r="97" spans="1:37">
      <c r="A97" s="1"/>
      <c r="B97" s="1"/>
      <c r="D97" s="7"/>
      <c r="G97" s="7"/>
      <c r="J97" s="7"/>
      <c r="M97" s="7"/>
      <c r="P97" s="7"/>
      <c r="S97" s="7"/>
      <c r="V97" s="7"/>
      <c r="Y97" s="6"/>
      <c r="AB97" s="7"/>
      <c r="AE97" s="7"/>
      <c r="AH97" s="7"/>
      <c r="AK97" s="7"/>
    </row>
    <row r="98" spans="1:37">
      <c r="A98" s="1"/>
      <c r="B98" s="1"/>
      <c r="D98" s="7"/>
      <c r="G98" s="7"/>
      <c r="J98" s="7"/>
      <c r="M98" s="7"/>
      <c r="P98" s="7"/>
      <c r="S98" s="7"/>
      <c r="V98" s="7"/>
      <c r="Y98" s="6"/>
      <c r="AB98" s="7"/>
      <c r="AE98" s="7"/>
      <c r="AH98" s="7"/>
      <c r="AK98" s="7"/>
    </row>
    <row r="99" spans="1:37">
      <c r="A99" s="1"/>
      <c r="B99" s="1"/>
      <c r="D99" s="7"/>
      <c r="G99" s="7"/>
      <c r="J99" s="7"/>
      <c r="M99" s="7"/>
      <c r="P99" s="7"/>
      <c r="S99" s="7"/>
      <c r="V99" s="7"/>
      <c r="Y99" s="6"/>
      <c r="AB99" s="7"/>
      <c r="AE99" s="7"/>
      <c r="AH99" s="7"/>
      <c r="AK99" s="7"/>
    </row>
    <row r="100" spans="1:37">
      <c r="A100" s="1"/>
      <c r="B100" s="1"/>
      <c r="D100" s="7"/>
      <c r="G100" s="7"/>
      <c r="J100" s="7"/>
      <c r="M100" s="7"/>
      <c r="P100" s="7"/>
      <c r="S100" s="7"/>
      <c r="V100" s="7"/>
      <c r="Y100" s="6"/>
      <c r="AB100" s="7"/>
      <c r="AE100" s="7"/>
      <c r="AH100" s="7"/>
      <c r="AK100" s="7"/>
    </row>
    <row r="101" spans="1:37">
      <c r="A101" s="1"/>
      <c r="B101" s="1"/>
      <c r="D101" s="7"/>
      <c r="G101" s="7"/>
      <c r="J101" s="7"/>
      <c r="M101" s="7"/>
      <c r="P101" s="7"/>
      <c r="S101" s="7"/>
      <c r="V101" s="7"/>
      <c r="Y101" s="6"/>
      <c r="AB101" s="7"/>
      <c r="AE101" s="7"/>
      <c r="AH101" s="7"/>
      <c r="AK101" s="7"/>
    </row>
    <row r="102" spans="1:37">
      <c r="A102" s="1"/>
      <c r="B102" s="1"/>
      <c r="D102" s="7"/>
      <c r="G102" s="7"/>
      <c r="J102" s="7"/>
      <c r="M102" s="7"/>
      <c r="P102" s="7"/>
      <c r="S102" s="7"/>
      <c r="V102" s="7"/>
      <c r="Y102" s="6"/>
      <c r="AB102" s="7"/>
      <c r="AE102" s="7"/>
      <c r="AH102" s="7"/>
      <c r="AK102" s="7"/>
    </row>
    <row r="103" spans="1:37">
      <c r="A103" s="1"/>
      <c r="B103" s="1"/>
      <c r="D103" s="7"/>
      <c r="G103" s="7"/>
      <c r="J103" s="7"/>
      <c r="M103" s="7"/>
      <c r="P103" s="7"/>
      <c r="S103" s="7"/>
      <c r="V103" s="7"/>
      <c r="Y103" s="6"/>
      <c r="AB103" s="7"/>
      <c r="AE103" s="7"/>
      <c r="AH103" s="7"/>
      <c r="AK103" s="7"/>
    </row>
    <row r="104" spans="1:37">
      <c r="A104" s="1"/>
      <c r="B104" s="1"/>
      <c r="D104" s="7"/>
      <c r="G104" s="7"/>
      <c r="J104" s="7"/>
      <c r="M104" s="7"/>
      <c r="P104" s="7"/>
      <c r="S104" s="7"/>
      <c r="V104" s="7"/>
      <c r="Y104" s="6"/>
      <c r="AB104" s="7"/>
      <c r="AE104" s="7"/>
      <c r="AH104" s="7"/>
      <c r="AK104" s="7"/>
    </row>
    <row r="105" spans="1:37">
      <c r="A105" s="1"/>
      <c r="B105" s="1"/>
      <c r="D105" s="7"/>
      <c r="G105" s="7"/>
      <c r="J105" s="7"/>
      <c r="M105" s="7"/>
      <c r="P105" s="7"/>
      <c r="S105" s="7"/>
      <c r="V105" s="7"/>
      <c r="Y105" s="6"/>
      <c r="AB105" s="7"/>
      <c r="AE105" s="7"/>
      <c r="AH105" s="7"/>
      <c r="AK105" s="7"/>
    </row>
    <row r="106" spans="1:37">
      <c r="A106" s="1"/>
      <c r="B106" s="1"/>
      <c r="D106" s="7"/>
      <c r="G106" s="7"/>
      <c r="J106" s="7"/>
      <c r="M106" s="7"/>
      <c r="P106" s="7"/>
      <c r="S106" s="7"/>
      <c r="V106" s="7"/>
      <c r="Y106" s="6"/>
      <c r="AB106" s="7"/>
      <c r="AE106" s="7"/>
      <c r="AH106" s="7"/>
      <c r="AK106" s="7"/>
    </row>
    <row r="107" spans="1:37">
      <c r="A107" s="1"/>
      <c r="B107" s="1"/>
      <c r="D107" s="7"/>
      <c r="G107" s="7"/>
      <c r="J107" s="7"/>
      <c r="M107" s="7"/>
      <c r="P107" s="7"/>
      <c r="S107" s="7"/>
      <c r="V107" s="7"/>
      <c r="Y107" s="6"/>
      <c r="AB107" s="7"/>
      <c r="AE107" s="7"/>
      <c r="AH107" s="7"/>
      <c r="AK107" s="7"/>
    </row>
    <row r="108" spans="1:37">
      <c r="A108" s="1"/>
      <c r="B108" s="1"/>
      <c r="D108" s="7"/>
      <c r="G108" s="7"/>
      <c r="J108" s="7"/>
      <c r="M108" s="7"/>
      <c r="P108" s="7"/>
      <c r="S108" s="7"/>
      <c r="V108" s="7"/>
      <c r="Y108" s="6"/>
      <c r="AB108" s="7"/>
      <c r="AE108" s="7"/>
      <c r="AH108" s="7"/>
      <c r="AK108" s="7"/>
    </row>
    <row r="109" spans="1:37">
      <c r="A109" s="1"/>
      <c r="B109" s="1"/>
      <c r="D109" s="7"/>
      <c r="G109" s="7"/>
      <c r="J109" s="7"/>
      <c r="M109" s="7"/>
      <c r="P109" s="7"/>
      <c r="S109" s="7"/>
      <c r="V109" s="7"/>
      <c r="Y109" s="6"/>
      <c r="AB109" s="7"/>
      <c r="AE109" s="7"/>
      <c r="AH109" s="7"/>
      <c r="AK109" s="7"/>
    </row>
    <row r="110" spans="1:37">
      <c r="A110" s="1"/>
      <c r="B110" s="1"/>
      <c r="D110" s="7"/>
      <c r="G110" s="7"/>
      <c r="J110" s="7"/>
      <c r="M110" s="7"/>
      <c r="P110" s="7"/>
      <c r="S110" s="7"/>
      <c r="V110" s="7"/>
      <c r="Y110" s="6"/>
      <c r="AB110" s="7"/>
      <c r="AE110" s="7"/>
      <c r="AH110" s="7"/>
      <c r="AK110" s="7"/>
    </row>
    <row r="111" spans="1:37">
      <c r="A111" s="1"/>
      <c r="B111" s="1"/>
      <c r="D111" s="7"/>
      <c r="G111" s="7"/>
      <c r="J111" s="7"/>
      <c r="M111" s="7"/>
      <c r="P111" s="7"/>
      <c r="S111" s="7"/>
      <c r="V111" s="7"/>
      <c r="Y111" s="6"/>
      <c r="AB111" s="7"/>
      <c r="AE111" s="7"/>
      <c r="AH111" s="7"/>
      <c r="AK111" s="7"/>
    </row>
    <row r="112" spans="1:37">
      <c r="A112" s="1"/>
      <c r="B112" s="1"/>
      <c r="D112" s="7"/>
      <c r="G112" s="7"/>
      <c r="J112" s="7"/>
      <c r="M112" s="7"/>
      <c r="P112" s="7"/>
      <c r="S112" s="7"/>
      <c r="V112" s="7"/>
      <c r="Y112" s="6"/>
      <c r="AB112" s="7"/>
      <c r="AE112" s="7"/>
      <c r="AH112" s="7"/>
      <c r="AK112" s="7"/>
    </row>
    <row r="113" spans="1:37">
      <c r="A113" s="1"/>
      <c r="B113" s="1"/>
      <c r="D113" s="7"/>
      <c r="G113" s="7"/>
      <c r="J113" s="7"/>
      <c r="M113" s="7"/>
      <c r="P113" s="7"/>
      <c r="S113" s="7"/>
      <c r="V113" s="7"/>
      <c r="Y113" s="6"/>
      <c r="AB113" s="7"/>
      <c r="AE113" s="7"/>
      <c r="AH113" s="7"/>
      <c r="AK113" s="7"/>
    </row>
    <row r="114" spans="1:37">
      <c r="A114" s="1"/>
      <c r="B114" s="1"/>
      <c r="D114" s="7"/>
      <c r="G114" s="7"/>
      <c r="J114" s="7"/>
      <c r="M114" s="7"/>
      <c r="P114" s="7"/>
      <c r="S114" s="7"/>
      <c r="V114" s="7"/>
      <c r="Y114" s="6"/>
      <c r="AB114" s="7"/>
      <c r="AE114" s="7"/>
      <c r="AH114" s="7"/>
      <c r="AK114" s="7"/>
    </row>
    <row r="115" spans="1:37">
      <c r="A115" s="1"/>
      <c r="B115" s="1"/>
      <c r="D115" s="7"/>
      <c r="G115" s="7"/>
      <c r="J115" s="7"/>
      <c r="M115" s="7"/>
      <c r="P115" s="7"/>
      <c r="S115" s="7"/>
      <c r="V115" s="7"/>
      <c r="Y115" s="6"/>
      <c r="AB115" s="7"/>
      <c r="AE115" s="7"/>
      <c r="AH115" s="7"/>
      <c r="AK115" s="7"/>
    </row>
    <row r="116" spans="1:37">
      <c r="A116" s="1"/>
      <c r="B116" s="1"/>
      <c r="D116" s="7"/>
      <c r="G116" s="7"/>
      <c r="J116" s="7"/>
      <c r="M116" s="7"/>
      <c r="P116" s="7"/>
      <c r="S116" s="7"/>
      <c r="V116" s="7"/>
      <c r="Y116" s="6"/>
      <c r="AB116" s="7"/>
      <c r="AE116" s="7"/>
      <c r="AH116" s="7"/>
      <c r="AK116" s="7"/>
    </row>
    <row r="117" spans="1:37">
      <c r="A117" s="1"/>
      <c r="B117" s="1"/>
      <c r="D117" s="7"/>
      <c r="G117" s="7"/>
      <c r="J117" s="7"/>
      <c r="M117" s="7"/>
      <c r="P117" s="7"/>
      <c r="S117" s="7"/>
      <c r="V117" s="7"/>
      <c r="Y117" s="6"/>
      <c r="AB117" s="7"/>
      <c r="AE117" s="7"/>
      <c r="AH117" s="7"/>
      <c r="AK117" s="7"/>
    </row>
    <row r="118" spans="1:37">
      <c r="A118" s="1"/>
      <c r="B118" s="1"/>
      <c r="D118" s="7"/>
      <c r="G118" s="7"/>
      <c r="J118" s="7"/>
      <c r="M118" s="7"/>
      <c r="P118" s="7"/>
      <c r="S118" s="7"/>
      <c r="V118" s="7"/>
      <c r="Y118" s="6"/>
      <c r="AB118" s="7"/>
      <c r="AE118" s="7"/>
      <c r="AH118" s="7"/>
      <c r="AK118" s="7"/>
    </row>
    <row r="119" spans="1:37">
      <c r="A119" s="1"/>
      <c r="B119" s="1"/>
      <c r="D119" s="7"/>
      <c r="G119" s="7"/>
      <c r="J119" s="7"/>
      <c r="M119" s="7"/>
      <c r="P119" s="7"/>
      <c r="S119" s="7"/>
      <c r="V119" s="7"/>
      <c r="Y119" s="6"/>
      <c r="AB119" s="7"/>
      <c r="AE119" s="7"/>
      <c r="AH119" s="7"/>
      <c r="AK119" s="7"/>
    </row>
    <row r="120" spans="1:37">
      <c r="A120" s="1"/>
      <c r="B120" s="1"/>
      <c r="D120" s="7"/>
      <c r="G120" s="7"/>
      <c r="J120" s="7"/>
      <c r="M120" s="7"/>
      <c r="P120" s="7"/>
      <c r="S120" s="7"/>
      <c r="V120" s="7"/>
      <c r="Y120" s="6"/>
      <c r="AB120" s="7"/>
      <c r="AE120" s="7"/>
      <c r="AH120" s="7"/>
      <c r="AK120" s="7"/>
    </row>
    <row r="121" spans="1:37">
      <c r="A121" s="1"/>
      <c r="B121" s="1"/>
      <c r="D121" s="7"/>
      <c r="G121" s="7"/>
      <c r="J121" s="7"/>
      <c r="M121" s="7"/>
      <c r="P121" s="7"/>
      <c r="S121" s="7"/>
      <c r="V121" s="7"/>
      <c r="Y121" s="6"/>
      <c r="AB121" s="7"/>
      <c r="AE121" s="7"/>
      <c r="AH121" s="7"/>
      <c r="AK121" s="7"/>
    </row>
    <row r="122" spans="1:37">
      <c r="A122" s="1"/>
      <c r="B122" s="1"/>
      <c r="D122" s="7"/>
      <c r="G122" s="7"/>
      <c r="J122" s="7"/>
      <c r="M122" s="7"/>
      <c r="P122" s="7"/>
      <c r="S122" s="7"/>
      <c r="V122" s="7"/>
      <c r="Y122" s="6"/>
      <c r="AB122" s="7"/>
      <c r="AE122" s="7"/>
      <c r="AH122" s="7"/>
      <c r="AK122" s="7"/>
    </row>
    <row r="123" spans="1:37">
      <c r="A123" s="1"/>
      <c r="B123" s="1"/>
      <c r="D123" s="7"/>
      <c r="G123" s="7"/>
      <c r="J123" s="7"/>
      <c r="M123" s="7"/>
      <c r="P123" s="7"/>
      <c r="S123" s="7"/>
      <c r="V123" s="7"/>
      <c r="Y123" s="6"/>
      <c r="AB123" s="7"/>
      <c r="AE123" s="7"/>
      <c r="AH123" s="7"/>
      <c r="AK123" s="7"/>
    </row>
    <row r="124" spans="1:37">
      <c r="A124" s="1"/>
      <c r="B124" s="1"/>
      <c r="D124" s="7"/>
      <c r="G124" s="7"/>
      <c r="J124" s="7"/>
      <c r="M124" s="7"/>
      <c r="P124" s="7"/>
      <c r="S124" s="7"/>
      <c r="V124" s="7"/>
      <c r="Y124" s="6"/>
      <c r="AB124" s="7"/>
      <c r="AE124" s="7"/>
      <c r="AH124" s="7"/>
      <c r="AK124" s="7"/>
    </row>
    <row r="125" spans="1:37">
      <c r="A125" s="1"/>
      <c r="B125" s="1"/>
      <c r="D125" s="7"/>
      <c r="G125" s="7"/>
      <c r="J125" s="7"/>
      <c r="M125" s="7"/>
      <c r="P125" s="7"/>
      <c r="S125" s="7"/>
      <c r="V125" s="7"/>
      <c r="Y125" s="6"/>
      <c r="AB125" s="7"/>
      <c r="AE125" s="7"/>
      <c r="AH125" s="7"/>
      <c r="AK125" s="7"/>
    </row>
    <row r="126" spans="1:37">
      <c r="A126" s="1"/>
      <c r="B126" s="1"/>
      <c r="D126" s="7"/>
      <c r="G126" s="7"/>
      <c r="J126" s="7"/>
      <c r="M126" s="7"/>
      <c r="P126" s="7"/>
      <c r="S126" s="7"/>
      <c r="V126" s="7"/>
      <c r="Y126" s="6"/>
      <c r="AB126" s="7"/>
      <c r="AE126" s="7"/>
      <c r="AH126" s="7"/>
      <c r="AK126" s="7"/>
    </row>
    <row r="127" spans="1:37">
      <c r="A127" s="1"/>
      <c r="B127" s="1"/>
      <c r="D127" s="7"/>
      <c r="G127" s="7"/>
      <c r="J127" s="7"/>
      <c r="M127" s="7"/>
      <c r="P127" s="7"/>
      <c r="S127" s="7"/>
      <c r="V127" s="7"/>
      <c r="Y127" s="6"/>
      <c r="AB127" s="7"/>
      <c r="AE127" s="7"/>
      <c r="AH127" s="7"/>
      <c r="AK127" s="7"/>
    </row>
    <row r="128" spans="1:37">
      <c r="A128" s="1"/>
      <c r="B128" s="1"/>
      <c r="D128" s="7"/>
      <c r="G128" s="7"/>
      <c r="J128" s="7"/>
      <c r="M128" s="7"/>
      <c r="P128" s="7"/>
      <c r="S128" s="7"/>
      <c r="V128" s="7"/>
      <c r="Y128" s="6"/>
      <c r="AB128" s="7"/>
      <c r="AE128" s="7"/>
      <c r="AH128" s="7"/>
      <c r="AK128" s="7"/>
    </row>
    <row r="129" spans="1:37">
      <c r="A129" s="1"/>
      <c r="B129" s="1"/>
      <c r="D129" s="7"/>
      <c r="G129" s="7"/>
      <c r="J129" s="7"/>
      <c r="M129" s="7"/>
      <c r="P129" s="7"/>
      <c r="S129" s="7"/>
      <c r="V129" s="7"/>
      <c r="Y129" s="6"/>
      <c r="AB129" s="7"/>
      <c r="AE129" s="7"/>
      <c r="AH129" s="7"/>
      <c r="AK129" s="7"/>
    </row>
    <row r="130" spans="1:37">
      <c r="A130" s="1"/>
      <c r="B130" s="1"/>
      <c r="D130" s="7"/>
      <c r="G130" s="7"/>
      <c r="J130" s="7"/>
      <c r="M130" s="7"/>
      <c r="P130" s="7"/>
      <c r="S130" s="7"/>
      <c r="V130" s="7"/>
      <c r="Y130" s="6"/>
      <c r="AB130" s="7"/>
      <c r="AE130" s="7"/>
      <c r="AH130" s="7"/>
      <c r="AK130" s="7"/>
    </row>
    <row r="131" spans="1:37">
      <c r="A131" s="1"/>
      <c r="B131" s="1"/>
      <c r="D131" s="7"/>
      <c r="G131" s="7"/>
      <c r="J131" s="7"/>
      <c r="M131" s="7"/>
      <c r="P131" s="7"/>
      <c r="S131" s="7"/>
      <c r="V131" s="7"/>
      <c r="Y131" s="6"/>
      <c r="AB131" s="7"/>
      <c r="AE131" s="7"/>
      <c r="AH131" s="7"/>
      <c r="AK131" s="7"/>
    </row>
    <row r="132" spans="1:37">
      <c r="A132" s="1"/>
      <c r="B132" s="1"/>
      <c r="D132" s="7"/>
      <c r="G132" s="7"/>
      <c r="J132" s="7"/>
      <c r="M132" s="7"/>
      <c r="P132" s="7"/>
      <c r="S132" s="7"/>
      <c r="V132" s="7"/>
      <c r="Y132" s="6"/>
      <c r="AB132" s="7"/>
      <c r="AE132" s="7"/>
      <c r="AH132" s="7"/>
      <c r="AK132" s="7"/>
    </row>
    <row r="133" spans="1:37">
      <c r="A133" s="1"/>
      <c r="B133" s="1"/>
      <c r="D133" s="7"/>
      <c r="G133" s="7"/>
      <c r="J133" s="7"/>
      <c r="M133" s="7"/>
      <c r="P133" s="7"/>
      <c r="S133" s="7"/>
      <c r="V133" s="7"/>
      <c r="Y133" s="6"/>
      <c r="AB133" s="7"/>
      <c r="AE133" s="7"/>
      <c r="AH133" s="7"/>
      <c r="AK133" s="7"/>
    </row>
    <row r="134" spans="1:37">
      <c r="A134" s="1"/>
      <c r="B134" s="1"/>
      <c r="D134" s="7"/>
      <c r="G134" s="7"/>
      <c r="J134" s="7"/>
      <c r="M134" s="7"/>
      <c r="P134" s="7"/>
      <c r="S134" s="7"/>
      <c r="V134" s="7"/>
      <c r="Y134" s="6"/>
      <c r="AB134" s="7"/>
      <c r="AE134" s="7"/>
      <c r="AH134" s="7"/>
      <c r="AK134" s="7"/>
    </row>
    <row r="135" spans="1:37">
      <c r="A135" s="1"/>
      <c r="B135" s="1"/>
      <c r="D135" s="7"/>
      <c r="G135" s="7"/>
      <c r="J135" s="7"/>
      <c r="M135" s="7"/>
      <c r="P135" s="7"/>
      <c r="S135" s="7"/>
      <c r="V135" s="7"/>
      <c r="Y135" s="6"/>
      <c r="AB135" s="7"/>
      <c r="AE135" s="7"/>
      <c r="AH135" s="7"/>
      <c r="AK135" s="7"/>
    </row>
    <row r="136" spans="1:37">
      <c r="A136" s="1"/>
      <c r="B136" s="1"/>
      <c r="D136" s="7"/>
      <c r="G136" s="7"/>
      <c r="J136" s="7"/>
      <c r="M136" s="7"/>
      <c r="P136" s="7"/>
      <c r="S136" s="7"/>
      <c r="V136" s="7"/>
      <c r="Y136" s="6"/>
      <c r="AB136" s="7"/>
      <c r="AE136" s="7"/>
      <c r="AH136" s="7"/>
      <c r="AK136" s="7"/>
    </row>
    <row r="137" spans="1:37">
      <c r="A137" s="1"/>
      <c r="B137" s="1"/>
      <c r="D137" s="7"/>
      <c r="G137" s="7"/>
      <c r="J137" s="7"/>
      <c r="M137" s="7"/>
      <c r="P137" s="7"/>
      <c r="S137" s="7"/>
      <c r="V137" s="7"/>
      <c r="Y137" s="6"/>
      <c r="AB137" s="7"/>
      <c r="AE137" s="7"/>
      <c r="AH137" s="7"/>
      <c r="AK137" s="7"/>
    </row>
    <row r="138" spans="1:37">
      <c r="A138" s="1"/>
      <c r="B138" s="1"/>
      <c r="D138" s="7"/>
      <c r="G138" s="7"/>
      <c r="J138" s="7"/>
      <c r="M138" s="7"/>
      <c r="P138" s="7"/>
      <c r="S138" s="7"/>
      <c r="V138" s="7"/>
      <c r="Y138" s="6"/>
      <c r="AB138" s="7"/>
      <c r="AE138" s="7"/>
      <c r="AH138" s="7"/>
      <c r="AK138" s="7"/>
    </row>
    <row r="139" spans="1:37">
      <c r="A139" s="1"/>
      <c r="B139" s="1"/>
      <c r="D139" s="7"/>
      <c r="G139" s="7"/>
      <c r="J139" s="7"/>
      <c r="M139" s="7"/>
      <c r="P139" s="7"/>
      <c r="S139" s="7"/>
      <c r="V139" s="7"/>
      <c r="Y139" s="6"/>
      <c r="AB139" s="7"/>
      <c r="AE139" s="7"/>
      <c r="AH139" s="7"/>
      <c r="AK139" s="7"/>
    </row>
    <row r="140" spans="1:37">
      <c r="A140" s="1"/>
      <c r="B140" s="1"/>
      <c r="D140" s="7"/>
      <c r="G140" s="7"/>
      <c r="J140" s="7"/>
      <c r="M140" s="7"/>
      <c r="P140" s="7"/>
      <c r="S140" s="7"/>
      <c r="V140" s="7"/>
      <c r="Y140" s="6"/>
      <c r="AB140" s="7"/>
      <c r="AE140" s="7"/>
      <c r="AH140" s="7"/>
      <c r="AK140" s="7"/>
    </row>
    <row r="141" spans="1:37">
      <c r="A141" s="1"/>
      <c r="B141" s="1"/>
      <c r="D141" s="7"/>
      <c r="G141" s="7"/>
      <c r="J141" s="7"/>
      <c r="M141" s="7"/>
      <c r="P141" s="7"/>
      <c r="S141" s="7"/>
      <c r="V141" s="7"/>
      <c r="Y141" s="6"/>
      <c r="AB141" s="7"/>
      <c r="AE141" s="7"/>
      <c r="AH141" s="7"/>
      <c r="AK141" s="7"/>
    </row>
    <row r="142" spans="1:37">
      <c r="A142" s="1"/>
      <c r="B142" s="1"/>
      <c r="D142" s="7"/>
      <c r="G142" s="7"/>
      <c r="J142" s="7"/>
      <c r="M142" s="7"/>
      <c r="P142" s="7"/>
      <c r="S142" s="7"/>
      <c r="V142" s="7"/>
      <c r="Y142" s="6"/>
      <c r="AB142" s="7"/>
      <c r="AE142" s="7"/>
      <c r="AH142" s="7"/>
      <c r="AK142" s="7"/>
    </row>
    <row r="143" spans="1:37">
      <c r="A143" s="1"/>
      <c r="B143" s="1"/>
      <c r="D143" s="7"/>
      <c r="G143" s="7"/>
      <c r="J143" s="7"/>
      <c r="M143" s="7"/>
      <c r="P143" s="7"/>
      <c r="S143" s="7"/>
      <c r="V143" s="7"/>
      <c r="Y143" s="6"/>
      <c r="AB143" s="7"/>
      <c r="AE143" s="7"/>
      <c r="AH143" s="7"/>
      <c r="AK143" s="7"/>
    </row>
    <row r="144" spans="1:37">
      <c r="A144" s="1"/>
      <c r="B144" s="1"/>
      <c r="D144" s="7"/>
      <c r="G144" s="7"/>
      <c r="J144" s="7"/>
      <c r="M144" s="7"/>
      <c r="P144" s="7"/>
      <c r="S144" s="7"/>
      <c r="V144" s="7"/>
      <c r="Y144" s="6"/>
      <c r="AB144" s="7"/>
      <c r="AE144" s="7"/>
      <c r="AH144" s="7"/>
      <c r="AK144" s="7"/>
    </row>
    <row r="145" spans="1:37">
      <c r="A145" s="1"/>
      <c r="B145" s="1"/>
      <c r="D145" s="7"/>
      <c r="G145" s="7"/>
      <c r="J145" s="7"/>
      <c r="M145" s="7"/>
      <c r="P145" s="7"/>
      <c r="S145" s="7"/>
      <c r="V145" s="7"/>
      <c r="Y145" s="6"/>
      <c r="AB145" s="7"/>
      <c r="AE145" s="7"/>
      <c r="AH145" s="7"/>
      <c r="AK145" s="7"/>
    </row>
    <row r="146" spans="1:37">
      <c r="A146" s="1"/>
      <c r="B146" s="1"/>
      <c r="D146" s="7"/>
      <c r="G146" s="7"/>
      <c r="J146" s="7"/>
      <c r="M146" s="7"/>
      <c r="P146" s="7"/>
      <c r="S146" s="7"/>
      <c r="V146" s="7"/>
      <c r="Y146" s="6"/>
      <c r="AB146" s="7"/>
      <c r="AE146" s="7"/>
      <c r="AH146" s="7"/>
      <c r="AK146" s="7"/>
    </row>
    <row r="147" spans="1:37">
      <c r="A147" s="1"/>
      <c r="B147" s="1"/>
      <c r="D147" s="7"/>
      <c r="G147" s="7"/>
      <c r="J147" s="7"/>
      <c r="M147" s="7"/>
      <c r="P147" s="7"/>
      <c r="S147" s="7"/>
      <c r="V147" s="7"/>
      <c r="Y147" s="6"/>
      <c r="AB147" s="7"/>
      <c r="AE147" s="7"/>
      <c r="AH147" s="7"/>
      <c r="AK147" s="7"/>
    </row>
    <row r="148" spans="1:37">
      <c r="A148" s="1"/>
      <c r="B148" s="1"/>
      <c r="D148" s="7"/>
      <c r="G148" s="7"/>
      <c r="J148" s="7"/>
      <c r="M148" s="7"/>
      <c r="P148" s="7"/>
      <c r="S148" s="7"/>
      <c r="V148" s="7"/>
      <c r="Y148" s="6"/>
      <c r="AB148" s="7"/>
      <c r="AE148" s="7"/>
      <c r="AH148" s="7"/>
      <c r="AK148" s="7"/>
    </row>
    <row r="149" spans="1:37">
      <c r="A149" s="1"/>
      <c r="B149" s="1"/>
      <c r="D149" s="7"/>
      <c r="G149" s="7"/>
      <c r="J149" s="7"/>
      <c r="M149" s="7"/>
      <c r="P149" s="7"/>
      <c r="S149" s="7"/>
      <c r="V149" s="7"/>
      <c r="Y149" s="6"/>
      <c r="AB149" s="7"/>
      <c r="AE149" s="7"/>
      <c r="AH149" s="7"/>
      <c r="AK149" s="7"/>
    </row>
    <row r="150" spans="1:37">
      <c r="A150" s="1"/>
      <c r="B150" s="1"/>
      <c r="D150" s="7"/>
      <c r="G150" s="7"/>
      <c r="J150" s="7"/>
      <c r="M150" s="7"/>
      <c r="P150" s="7"/>
      <c r="S150" s="7"/>
      <c r="V150" s="7"/>
      <c r="Y150" s="6"/>
      <c r="AB150" s="7"/>
      <c r="AE150" s="7"/>
      <c r="AH150" s="7"/>
      <c r="AK150" s="7"/>
    </row>
    <row r="151" spans="1:37">
      <c r="A151" s="1"/>
      <c r="B151" s="1"/>
      <c r="D151" s="7"/>
      <c r="G151" s="7"/>
      <c r="J151" s="7"/>
      <c r="M151" s="7"/>
      <c r="P151" s="7"/>
      <c r="S151" s="7"/>
      <c r="V151" s="7"/>
      <c r="Y151" s="6"/>
      <c r="AB151" s="7"/>
      <c r="AE151" s="7"/>
      <c r="AH151" s="7"/>
      <c r="AK151" s="7"/>
    </row>
    <row r="152" spans="1:37">
      <c r="A152" s="1"/>
      <c r="B152" s="1"/>
      <c r="D152" s="7"/>
      <c r="G152" s="7"/>
      <c r="J152" s="7"/>
      <c r="M152" s="7"/>
      <c r="P152" s="7"/>
      <c r="S152" s="7"/>
      <c r="V152" s="7"/>
      <c r="Y152" s="6"/>
      <c r="AB152" s="7"/>
      <c r="AE152" s="7"/>
      <c r="AH152" s="7"/>
      <c r="AK152" s="7"/>
    </row>
    <row r="153" spans="1:37">
      <c r="A153" s="1"/>
      <c r="B153" s="1"/>
      <c r="D153" s="7"/>
      <c r="G153" s="7"/>
      <c r="J153" s="7"/>
      <c r="M153" s="7"/>
      <c r="P153" s="7"/>
      <c r="S153" s="7"/>
      <c r="V153" s="7"/>
      <c r="Y153" s="6"/>
      <c r="AB153" s="7"/>
      <c r="AE153" s="7"/>
      <c r="AH153" s="7"/>
      <c r="AK153" s="7"/>
    </row>
    <row r="154" spans="1:37">
      <c r="A154" s="1"/>
      <c r="B154" s="1"/>
      <c r="D154" s="7"/>
      <c r="G154" s="7"/>
      <c r="J154" s="7"/>
      <c r="M154" s="7"/>
      <c r="P154" s="7"/>
      <c r="S154" s="7"/>
      <c r="V154" s="7"/>
      <c r="Y154" s="6"/>
      <c r="AB154" s="7"/>
      <c r="AE154" s="7"/>
      <c r="AH154" s="7"/>
      <c r="AK154" s="7"/>
    </row>
    <row r="155" spans="1:37">
      <c r="A155" s="1"/>
      <c r="B155" s="1"/>
      <c r="D155" s="7"/>
      <c r="G155" s="7"/>
      <c r="J155" s="7"/>
      <c r="M155" s="7"/>
      <c r="P155" s="7"/>
      <c r="S155" s="7"/>
      <c r="V155" s="7"/>
      <c r="Y155" s="6"/>
      <c r="AB155" s="7"/>
      <c r="AE155" s="7"/>
      <c r="AH155" s="7"/>
      <c r="AK155" s="7"/>
    </row>
    <row r="156" spans="1:37">
      <c r="A156" s="1"/>
      <c r="B156" s="1"/>
      <c r="D156" s="7"/>
      <c r="G156" s="7"/>
      <c r="J156" s="7"/>
      <c r="M156" s="7"/>
      <c r="P156" s="7"/>
      <c r="S156" s="7"/>
      <c r="V156" s="7"/>
      <c r="Y156" s="6"/>
      <c r="AB156" s="7"/>
      <c r="AE156" s="7"/>
      <c r="AH156" s="7"/>
      <c r="AK156" s="7"/>
    </row>
    <row r="157" spans="1:37">
      <c r="A157" s="1"/>
      <c r="B157" s="1"/>
      <c r="D157" s="7"/>
      <c r="G157" s="7"/>
      <c r="J157" s="7"/>
      <c r="M157" s="7"/>
      <c r="P157" s="7"/>
      <c r="S157" s="7"/>
      <c r="V157" s="7"/>
      <c r="Y157" s="6"/>
      <c r="AB157" s="7"/>
      <c r="AE157" s="7"/>
      <c r="AH157" s="7"/>
      <c r="AK157" s="7"/>
    </row>
    <row r="158" spans="1:37">
      <c r="A158" s="1"/>
      <c r="B158" s="1"/>
      <c r="D158" s="7"/>
      <c r="G158" s="7"/>
      <c r="J158" s="7"/>
      <c r="M158" s="7"/>
      <c r="P158" s="7"/>
      <c r="S158" s="7"/>
      <c r="V158" s="7"/>
      <c r="Y158" s="6"/>
      <c r="AB158" s="7"/>
      <c r="AE158" s="7"/>
      <c r="AH158" s="7"/>
      <c r="AK158" s="7"/>
    </row>
    <row r="159" spans="1:37">
      <c r="A159" s="1"/>
      <c r="B159" s="1"/>
      <c r="D159" s="7"/>
      <c r="G159" s="7"/>
      <c r="J159" s="7"/>
      <c r="M159" s="7"/>
      <c r="P159" s="7"/>
      <c r="S159" s="7"/>
      <c r="V159" s="7"/>
      <c r="Y159" s="6"/>
      <c r="AB159" s="7"/>
      <c r="AE159" s="7"/>
      <c r="AH159" s="7"/>
      <c r="AK159" s="7"/>
    </row>
    <row r="160" spans="1:37">
      <c r="A160" s="1"/>
      <c r="B160" s="1"/>
      <c r="D160" s="7"/>
      <c r="G160" s="7"/>
      <c r="J160" s="7"/>
      <c r="M160" s="7"/>
      <c r="P160" s="7"/>
      <c r="S160" s="7"/>
      <c r="V160" s="7"/>
      <c r="Y160" s="6"/>
      <c r="AB160" s="7"/>
      <c r="AE160" s="7"/>
      <c r="AH160" s="7"/>
      <c r="AK160" s="7"/>
    </row>
    <row r="161" spans="1:37">
      <c r="A161" s="1"/>
      <c r="B161" s="1"/>
      <c r="D161" s="7"/>
      <c r="G161" s="7"/>
      <c r="J161" s="7"/>
      <c r="M161" s="7"/>
      <c r="P161" s="7"/>
      <c r="S161" s="7"/>
      <c r="V161" s="7"/>
      <c r="Y161" s="6"/>
      <c r="AB161" s="7"/>
      <c r="AE161" s="7"/>
      <c r="AH161" s="7"/>
      <c r="AK161" s="7"/>
    </row>
    <row r="162" spans="1:37">
      <c r="A162" s="1"/>
      <c r="B162" s="1"/>
      <c r="D162" s="7"/>
      <c r="G162" s="7"/>
      <c r="J162" s="7"/>
      <c r="M162" s="7"/>
      <c r="P162" s="7"/>
      <c r="S162" s="7"/>
      <c r="V162" s="7"/>
      <c r="Y162" s="6"/>
      <c r="AB162" s="7"/>
      <c r="AE162" s="7"/>
      <c r="AH162" s="7"/>
      <c r="AK162" s="7"/>
    </row>
    <row r="163" spans="1:37">
      <c r="A163" s="1"/>
      <c r="B163" s="1"/>
      <c r="D163" s="7"/>
      <c r="G163" s="7"/>
      <c r="J163" s="7"/>
      <c r="M163" s="7"/>
      <c r="P163" s="7"/>
      <c r="S163" s="7"/>
      <c r="V163" s="7"/>
      <c r="Y163" s="6"/>
      <c r="AB163" s="7"/>
      <c r="AE163" s="7"/>
      <c r="AH163" s="7"/>
      <c r="AK163" s="7"/>
    </row>
    <row r="164" spans="1:37">
      <c r="A164" s="1"/>
      <c r="B164" s="1"/>
      <c r="D164" s="7"/>
      <c r="G164" s="7"/>
      <c r="J164" s="7"/>
      <c r="M164" s="7"/>
      <c r="P164" s="7"/>
      <c r="S164" s="7"/>
      <c r="V164" s="7"/>
      <c r="Y164" s="6"/>
      <c r="AB164" s="7"/>
      <c r="AE164" s="7"/>
      <c r="AH164" s="7"/>
      <c r="AK164" s="7"/>
    </row>
    <row r="165" spans="1:37">
      <c r="A165" s="1"/>
      <c r="B165" s="1"/>
      <c r="D165" s="7"/>
      <c r="G165" s="7"/>
      <c r="J165" s="7"/>
      <c r="M165" s="7"/>
      <c r="P165" s="7"/>
      <c r="S165" s="7"/>
      <c r="V165" s="7"/>
      <c r="Y165" s="6"/>
      <c r="AB165" s="7"/>
      <c r="AE165" s="7"/>
      <c r="AH165" s="7"/>
      <c r="AK165" s="7"/>
    </row>
    <row r="166" spans="1:37">
      <c r="A166" s="1"/>
      <c r="B166" s="1"/>
      <c r="D166" s="7"/>
      <c r="G166" s="7"/>
      <c r="J166" s="7"/>
      <c r="M166" s="7"/>
      <c r="P166" s="7"/>
      <c r="S166" s="7"/>
      <c r="V166" s="7"/>
      <c r="Y166" s="6"/>
      <c r="AB166" s="7"/>
      <c r="AE166" s="7"/>
      <c r="AH166" s="7"/>
      <c r="AK166" s="7"/>
    </row>
    <row r="167" spans="1:37">
      <c r="A167" s="1"/>
      <c r="B167" s="1"/>
      <c r="D167" s="7"/>
      <c r="G167" s="7"/>
      <c r="J167" s="7"/>
      <c r="M167" s="7"/>
      <c r="P167" s="7"/>
      <c r="S167" s="7"/>
      <c r="V167" s="7"/>
      <c r="Y167" s="6"/>
      <c r="AB167" s="7"/>
      <c r="AE167" s="7"/>
      <c r="AH167" s="7"/>
      <c r="AK167" s="7"/>
    </row>
    <row r="168" spans="1:37">
      <c r="A168" s="1"/>
      <c r="B168" s="1"/>
      <c r="D168" s="7"/>
      <c r="G168" s="7"/>
      <c r="J168" s="7"/>
      <c r="M168" s="7"/>
      <c r="P168" s="7"/>
      <c r="S168" s="7"/>
      <c r="V168" s="7"/>
      <c r="Y168" s="6"/>
      <c r="AB168" s="7"/>
      <c r="AE168" s="7"/>
      <c r="AH168" s="7"/>
      <c r="AK168" s="7"/>
    </row>
    <row r="169" spans="1:37">
      <c r="A169" s="1"/>
      <c r="B169" s="1"/>
      <c r="D169" s="7"/>
      <c r="G169" s="7"/>
      <c r="J169" s="7"/>
      <c r="M169" s="7"/>
      <c r="P169" s="7"/>
      <c r="S169" s="7"/>
      <c r="V169" s="7"/>
      <c r="Y169" s="6"/>
      <c r="AB169" s="7"/>
      <c r="AE169" s="7"/>
      <c r="AH169" s="7"/>
      <c r="AK169" s="7"/>
    </row>
    <row r="170" spans="1:37">
      <c r="A170" s="1"/>
      <c r="B170" s="1"/>
      <c r="D170" s="7"/>
      <c r="G170" s="7"/>
      <c r="J170" s="7"/>
      <c r="M170" s="7"/>
      <c r="P170" s="7"/>
      <c r="S170" s="7"/>
      <c r="V170" s="7"/>
      <c r="Y170" s="6"/>
      <c r="AB170" s="7"/>
      <c r="AE170" s="7"/>
      <c r="AH170" s="7"/>
      <c r="AK170" s="7"/>
    </row>
    <row r="171" spans="1:37">
      <c r="A171" s="1"/>
      <c r="B171" s="1"/>
      <c r="D171" s="7"/>
      <c r="G171" s="7"/>
      <c r="J171" s="7"/>
      <c r="M171" s="7"/>
      <c r="P171" s="7"/>
      <c r="S171" s="7"/>
      <c r="V171" s="7"/>
      <c r="Y171" s="6"/>
      <c r="AB171" s="7"/>
      <c r="AE171" s="7"/>
      <c r="AH171" s="7"/>
      <c r="AK171" s="7"/>
    </row>
    <row r="172" spans="1:37">
      <c r="A172" s="1"/>
      <c r="B172" s="1"/>
      <c r="D172" s="7"/>
      <c r="G172" s="7"/>
      <c r="J172" s="7"/>
      <c r="M172" s="7"/>
      <c r="P172" s="7"/>
      <c r="S172" s="7"/>
      <c r="V172" s="7"/>
      <c r="Y172" s="6"/>
      <c r="AB172" s="7"/>
      <c r="AE172" s="7"/>
      <c r="AH172" s="7"/>
      <c r="AK172" s="7"/>
    </row>
    <row r="173" spans="1:37">
      <c r="A173" s="1"/>
      <c r="B173" s="1"/>
      <c r="D173" s="7"/>
      <c r="G173" s="7"/>
      <c r="J173" s="7"/>
      <c r="M173" s="7"/>
      <c r="P173" s="7"/>
      <c r="S173" s="7"/>
      <c r="V173" s="7"/>
      <c r="Y173" s="6"/>
      <c r="AB173" s="7"/>
      <c r="AE173" s="7"/>
      <c r="AH173" s="7"/>
      <c r="AK173" s="7"/>
    </row>
    <row r="174" spans="1:37">
      <c r="A174" s="1"/>
      <c r="B174" s="1"/>
      <c r="D174" s="7"/>
      <c r="G174" s="7"/>
      <c r="J174" s="7"/>
      <c r="M174" s="7"/>
      <c r="P174" s="7"/>
      <c r="S174" s="7"/>
      <c r="V174" s="7"/>
      <c r="Y174" s="6"/>
      <c r="AB174" s="7"/>
      <c r="AE174" s="7"/>
      <c r="AH174" s="7"/>
      <c r="AK174" s="7"/>
    </row>
    <row r="175" spans="1:37">
      <c r="A175" s="1"/>
      <c r="B175" s="1"/>
      <c r="D175" s="7"/>
      <c r="G175" s="7"/>
      <c r="J175" s="7"/>
      <c r="M175" s="7"/>
      <c r="P175" s="7"/>
      <c r="S175" s="7"/>
      <c r="V175" s="7"/>
      <c r="Y175" s="6"/>
      <c r="AB175" s="7"/>
      <c r="AE175" s="7"/>
      <c r="AH175" s="7"/>
      <c r="AK175" s="7"/>
    </row>
    <row r="176" spans="1:37">
      <c r="A176" s="1"/>
      <c r="B176" s="1"/>
      <c r="D176" s="7"/>
      <c r="G176" s="7"/>
      <c r="J176" s="7"/>
      <c r="M176" s="7"/>
      <c r="P176" s="7"/>
      <c r="S176" s="7"/>
      <c r="V176" s="7"/>
      <c r="Y176" s="6"/>
      <c r="AB176" s="7"/>
      <c r="AE176" s="7"/>
      <c r="AH176" s="7"/>
      <c r="AK176" s="7"/>
    </row>
    <row r="177" spans="1:37">
      <c r="A177" s="1"/>
      <c r="B177" s="1"/>
      <c r="D177" s="7"/>
      <c r="G177" s="7"/>
      <c r="J177" s="7"/>
      <c r="M177" s="7"/>
      <c r="P177" s="7"/>
      <c r="S177" s="7"/>
      <c r="V177" s="7"/>
      <c r="Y177" s="6"/>
      <c r="AB177" s="7"/>
      <c r="AE177" s="7"/>
      <c r="AH177" s="7"/>
      <c r="AK177" s="7"/>
    </row>
    <row r="178" spans="1:37">
      <c r="A178" s="1"/>
      <c r="B178" s="1"/>
      <c r="D178" s="7"/>
      <c r="G178" s="7"/>
      <c r="J178" s="7"/>
      <c r="M178" s="7"/>
      <c r="P178" s="7"/>
      <c r="S178" s="7"/>
      <c r="V178" s="7"/>
      <c r="Y178" s="6"/>
      <c r="AB178" s="7"/>
      <c r="AE178" s="7"/>
      <c r="AH178" s="7"/>
      <c r="AK178" s="7"/>
    </row>
    <row r="179" spans="1:37">
      <c r="A179" s="1"/>
      <c r="B179" s="1"/>
      <c r="D179" s="7"/>
      <c r="G179" s="7"/>
      <c r="J179" s="7"/>
      <c r="M179" s="7"/>
      <c r="P179" s="7"/>
      <c r="S179" s="7"/>
      <c r="V179" s="7"/>
      <c r="Y179" s="6"/>
      <c r="AB179" s="7"/>
      <c r="AE179" s="7"/>
      <c r="AH179" s="7"/>
      <c r="AK179" s="7"/>
    </row>
    <row r="180" spans="1:37">
      <c r="A180" s="1"/>
      <c r="B180" s="1"/>
      <c r="D180" s="7"/>
      <c r="G180" s="7"/>
      <c r="J180" s="7"/>
      <c r="M180" s="7"/>
      <c r="P180" s="7"/>
      <c r="S180" s="7"/>
      <c r="V180" s="7"/>
      <c r="Y180" s="6"/>
      <c r="AB180" s="7"/>
      <c r="AE180" s="7"/>
      <c r="AH180" s="7"/>
      <c r="AK180" s="7"/>
    </row>
    <row r="181" spans="1:37">
      <c r="A181" s="1"/>
      <c r="B181" s="1"/>
      <c r="D181" s="7"/>
      <c r="G181" s="7"/>
      <c r="J181" s="7"/>
      <c r="M181" s="7"/>
      <c r="P181" s="7"/>
      <c r="S181" s="7"/>
      <c r="V181" s="7"/>
      <c r="Y181" s="6"/>
      <c r="AB181" s="7"/>
      <c r="AE181" s="7"/>
      <c r="AH181" s="7"/>
      <c r="AK181" s="7"/>
    </row>
    <row r="182" spans="1:37">
      <c r="A182" s="1"/>
      <c r="B182" s="1"/>
      <c r="D182" s="7"/>
      <c r="G182" s="7"/>
      <c r="J182" s="7"/>
      <c r="M182" s="7"/>
      <c r="P182" s="7"/>
      <c r="S182" s="7"/>
      <c r="V182" s="7"/>
      <c r="Y182" s="6"/>
      <c r="AB182" s="7"/>
      <c r="AE182" s="7"/>
      <c r="AH182" s="7"/>
      <c r="AK182" s="7"/>
    </row>
    <row r="183" spans="1:37">
      <c r="A183" s="1"/>
      <c r="B183" s="1"/>
      <c r="D183" s="7"/>
      <c r="G183" s="7"/>
      <c r="J183" s="7"/>
      <c r="M183" s="7"/>
      <c r="P183" s="7"/>
      <c r="S183" s="7"/>
      <c r="V183" s="7"/>
      <c r="Y183" s="6"/>
      <c r="AB183" s="7"/>
      <c r="AE183" s="7"/>
      <c r="AH183" s="7"/>
      <c r="AK183" s="7"/>
    </row>
    <row r="184" spans="1:37">
      <c r="A184" s="1"/>
      <c r="B184" s="1"/>
      <c r="D184" s="7"/>
      <c r="G184" s="7"/>
      <c r="J184" s="7"/>
      <c r="M184" s="7"/>
      <c r="P184" s="7"/>
      <c r="S184" s="7"/>
      <c r="V184" s="7"/>
      <c r="Y184" s="6"/>
      <c r="AB184" s="7"/>
      <c r="AE184" s="7"/>
      <c r="AH184" s="7"/>
      <c r="AK184" s="7"/>
    </row>
    <row r="185" spans="1:37">
      <c r="A185" s="1"/>
      <c r="B185" s="1"/>
      <c r="D185" s="7"/>
      <c r="G185" s="7"/>
      <c r="J185" s="7"/>
      <c r="M185" s="7"/>
      <c r="P185" s="7"/>
      <c r="S185" s="7"/>
      <c r="V185" s="7"/>
      <c r="Y185" s="6"/>
      <c r="AB185" s="7"/>
      <c r="AE185" s="7"/>
      <c r="AH185" s="7"/>
      <c r="AK185" s="7"/>
    </row>
    <row r="186" spans="1:37">
      <c r="A186" s="1"/>
      <c r="B186" s="1"/>
      <c r="D186" s="7"/>
      <c r="G186" s="7"/>
      <c r="J186" s="7"/>
      <c r="M186" s="7"/>
      <c r="P186" s="7"/>
      <c r="S186" s="7"/>
      <c r="V186" s="7"/>
      <c r="Y186" s="6"/>
      <c r="AB186" s="7"/>
      <c r="AE186" s="7"/>
      <c r="AH186" s="7"/>
      <c r="AK186" s="7"/>
    </row>
    <row r="187" spans="1:37">
      <c r="A187" s="1"/>
      <c r="B187" s="1"/>
      <c r="D187" s="7"/>
      <c r="G187" s="7"/>
      <c r="J187" s="7"/>
      <c r="M187" s="7"/>
      <c r="P187" s="7"/>
      <c r="S187" s="7"/>
      <c r="V187" s="7"/>
      <c r="Y187" s="6"/>
      <c r="AB187" s="7"/>
      <c r="AE187" s="7"/>
      <c r="AH187" s="7"/>
      <c r="AK187" s="7"/>
    </row>
    <row r="188" spans="1:37">
      <c r="A188" s="1"/>
      <c r="B188" s="1"/>
      <c r="D188" s="7"/>
      <c r="G188" s="7"/>
      <c r="J188" s="7"/>
      <c r="M188" s="7"/>
      <c r="P188" s="7"/>
      <c r="S188" s="7"/>
      <c r="V188" s="7"/>
      <c r="Y188" s="6"/>
      <c r="AB188" s="7"/>
      <c r="AE188" s="7"/>
      <c r="AH188" s="7"/>
      <c r="AK188" s="7"/>
    </row>
    <row r="189" spans="1:37">
      <c r="A189" s="1"/>
      <c r="B189" s="1"/>
      <c r="D189" s="7"/>
      <c r="G189" s="7"/>
      <c r="J189" s="7"/>
      <c r="M189" s="7"/>
      <c r="P189" s="7"/>
      <c r="S189" s="7"/>
      <c r="V189" s="7"/>
      <c r="Y189" s="6"/>
      <c r="AB189" s="7"/>
      <c r="AE189" s="7"/>
      <c r="AH189" s="7"/>
      <c r="AK189" s="7"/>
    </row>
    <row r="190" spans="1:37">
      <c r="A190" s="1"/>
      <c r="B190" s="1"/>
      <c r="D190" s="7"/>
      <c r="G190" s="7"/>
      <c r="J190" s="7"/>
      <c r="M190" s="7"/>
      <c r="P190" s="7"/>
      <c r="S190" s="7"/>
      <c r="V190" s="7"/>
      <c r="Y190" s="6"/>
      <c r="AB190" s="7"/>
      <c r="AE190" s="7"/>
      <c r="AH190" s="7"/>
      <c r="AK190" s="7"/>
    </row>
    <row r="191" spans="1:37">
      <c r="A191" s="1"/>
      <c r="B191" s="1"/>
      <c r="D191" s="7"/>
      <c r="G191" s="7"/>
      <c r="J191" s="7"/>
      <c r="M191" s="7"/>
      <c r="P191" s="7"/>
      <c r="S191" s="7"/>
      <c r="V191" s="7"/>
      <c r="Y191" s="6"/>
      <c r="AB191" s="7"/>
      <c r="AE191" s="7"/>
      <c r="AH191" s="7"/>
      <c r="AK191" s="7"/>
    </row>
    <row r="192" spans="1:37">
      <c r="A192" s="1"/>
      <c r="B192" s="1"/>
      <c r="D192" s="7"/>
      <c r="G192" s="7"/>
      <c r="J192" s="7"/>
      <c r="M192" s="7"/>
      <c r="P192" s="7"/>
      <c r="S192" s="7"/>
      <c r="V192" s="7"/>
      <c r="Y192" s="6"/>
      <c r="AB192" s="7"/>
      <c r="AE192" s="7"/>
      <c r="AH192" s="7"/>
      <c r="AK192" s="7"/>
    </row>
    <row r="193" spans="1:37">
      <c r="A193" s="1"/>
      <c r="B193" s="1"/>
      <c r="D193" s="7"/>
      <c r="G193" s="7"/>
      <c r="J193" s="7"/>
      <c r="M193" s="7"/>
      <c r="P193" s="7"/>
      <c r="S193" s="7"/>
      <c r="V193" s="7"/>
      <c r="Y193" s="6"/>
      <c r="AB193" s="7"/>
      <c r="AE193" s="7"/>
      <c r="AH193" s="7"/>
      <c r="AK193" s="7"/>
    </row>
    <row r="194" spans="1:37">
      <c r="A194" s="1"/>
      <c r="B194" s="1"/>
      <c r="D194" s="7"/>
      <c r="G194" s="7"/>
      <c r="J194" s="7"/>
      <c r="M194" s="7"/>
      <c r="P194" s="7"/>
      <c r="S194" s="7"/>
      <c r="V194" s="7"/>
      <c r="Y194" s="6"/>
      <c r="AB194" s="7"/>
      <c r="AE194" s="7"/>
      <c r="AH194" s="7"/>
      <c r="AK194" s="7"/>
    </row>
    <row r="195" spans="1:37">
      <c r="A195" s="1"/>
      <c r="B195" s="1"/>
      <c r="D195" s="7"/>
      <c r="G195" s="7"/>
      <c r="J195" s="7"/>
      <c r="M195" s="7"/>
      <c r="P195" s="7"/>
      <c r="S195" s="7"/>
      <c r="V195" s="7"/>
      <c r="Y195" s="6"/>
      <c r="AB195" s="7"/>
      <c r="AE195" s="7"/>
      <c r="AH195" s="7"/>
      <c r="AK195" s="7"/>
    </row>
    <row r="196" spans="1:37">
      <c r="A196" s="1"/>
      <c r="B196" s="1"/>
      <c r="D196" s="7"/>
      <c r="G196" s="7"/>
      <c r="J196" s="7"/>
      <c r="M196" s="7"/>
      <c r="P196" s="7"/>
      <c r="S196" s="7"/>
      <c r="V196" s="7"/>
      <c r="Y196" s="6"/>
      <c r="AB196" s="7"/>
      <c r="AE196" s="7"/>
      <c r="AH196" s="7"/>
      <c r="AK196" s="7"/>
    </row>
    <row r="197" spans="1:37">
      <c r="A197" s="1"/>
      <c r="B197" s="1"/>
      <c r="D197" s="7"/>
      <c r="G197" s="7"/>
      <c r="J197" s="7"/>
      <c r="M197" s="7"/>
      <c r="P197" s="7"/>
      <c r="S197" s="7"/>
      <c r="V197" s="7"/>
      <c r="Y197" s="6"/>
      <c r="AB197" s="7"/>
      <c r="AE197" s="7"/>
      <c r="AH197" s="7"/>
      <c r="AK197" s="7"/>
    </row>
    <row r="198" spans="1:37">
      <c r="A198" s="1"/>
      <c r="B198" s="1"/>
      <c r="D198" s="7"/>
      <c r="G198" s="7"/>
      <c r="J198" s="7"/>
      <c r="M198" s="7"/>
      <c r="P198" s="7"/>
      <c r="S198" s="7"/>
      <c r="V198" s="7"/>
      <c r="Y198" s="6"/>
      <c r="AB198" s="7"/>
      <c r="AE198" s="7"/>
      <c r="AH198" s="7"/>
      <c r="AK198" s="7"/>
    </row>
    <row r="199" spans="1:37">
      <c r="A199" s="1"/>
      <c r="B199" s="1"/>
      <c r="D199" s="7"/>
      <c r="G199" s="7"/>
      <c r="J199" s="7"/>
      <c r="M199" s="7"/>
      <c r="P199" s="7"/>
      <c r="S199" s="7"/>
      <c r="V199" s="7"/>
      <c r="Y199" s="6"/>
      <c r="AB199" s="7"/>
      <c r="AE199" s="7"/>
      <c r="AH199" s="7"/>
      <c r="AK199" s="7"/>
    </row>
    <row r="200" spans="1:37">
      <c r="A200" s="1"/>
      <c r="B200" s="1"/>
      <c r="D200" s="7"/>
      <c r="G200" s="7"/>
      <c r="J200" s="7"/>
      <c r="M200" s="7"/>
      <c r="P200" s="7"/>
      <c r="S200" s="7"/>
      <c r="V200" s="7"/>
      <c r="Y200" s="6"/>
      <c r="AB200" s="7"/>
      <c r="AE200" s="7"/>
      <c r="AH200" s="7"/>
      <c r="AK200" s="7"/>
    </row>
    <row r="201" spans="1:37">
      <c r="A201" s="1"/>
      <c r="B201" s="1"/>
      <c r="D201" s="7"/>
      <c r="G201" s="7"/>
      <c r="J201" s="7"/>
      <c r="M201" s="7"/>
      <c r="P201" s="7"/>
      <c r="S201" s="7"/>
      <c r="V201" s="7"/>
      <c r="Y201" s="6"/>
      <c r="AB201" s="7"/>
      <c r="AE201" s="7"/>
      <c r="AH201" s="7"/>
      <c r="AK201" s="7"/>
    </row>
    <row r="202" spans="1:37">
      <c r="A202" s="1"/>
      <c r="B202" s="1"/>
      <c r="D202" s="7"/>
      <c r="G202" s="7"/>
      <c r="J202" s="7"/>
      <c r="M202" s="7"/>
      <c r="P202" s="7"/>
      <c r="S202" s="7"/>
      <c r="V202" s="7"/>
      <c r="Y202" s="6"/>
      <c r="AB202" s="7"/>
      <c r="AE202" s="7"/>
      <c r="AH202" s="7"/>
      <c r="AK202" s="7"/>
    </row>
    <row r="203" spans="1:37">
      <c r="A203" s="1"/>
      <c r="B203" s="1"/>
      <c r="D203" s="7"/>
      <c r="G203" s="7"/>
      <c r="J203" s="7"/>
      <c r="M203" s="7"/>
      <c r="P203" s="7"/>
      <c r="S203" s="7"/>
      <c r="V203" s="7"/>
      <c r="Y203" s="6"/>
      <c r="AB203" s="7"/>
      <c r="AE203" s="7"/>
      <c r="AH203" s="7"/>
      <c r="AK203" s="7"/>
    </row>
    <row r="204" spans="1:37">
      <c r="A204" s="1"/>
      <c r="B204" s="1"/>
      <c r="D204" s="7"/>
      <c r="G204" s="7"/>
      <c r="J204" s="7"/>
      <c r="M204" s="7"/>
      <c r="P204" s="7"/>
      <c r="S204" s="7"/>
      <c r="V204" s="7"/>
      <c r="Y204" s="6"/>
      <c r="AB204" s="7"/>
      <c r="AE204" s="7"/>
      <c r="AH204" s="7"/>
      <c r="AK204" s="7"/>
    </row>
    <row r="205" spans="1:37">
      <c r="A205" s="1"/>
      <c r="B205" s="1"/>
      <c r="D205" s="7"/>
      <c r="G205" s="7"/>
      <c r="J205" s="7"/>
      <c r="M205" s="7"/>
      <c r="P205" s="7"/>
      <c r="S205" s="7"/>
      <c r="V205" s="7"/>
      <c r="Y205" s="6"/>
      <c r="AB205" s="7"/>
      <c r="AE205" s="7"/>
      <c r="AH205" s="7"/>
      <c r="AK205" s="7"/>
    </row>
    <row r="206" spans="1:37">
      <c r="A206" s="1"/>
      <c r="B206" s="1"/>
      <c r="D206" s="7"/>
      <c r="G206" s="7"/>
      <c r="J206" s="7"/>
      <c r="M206" s="7"/>
      <c r="P206" s="7"/>
      <c r="S206" s="7"/>
      <c r="V206" s="7"/>
      <c r="Y206" s="6"/>
      <c r="AB206" s="7"/>
      <c r="AE206" s="7"/>
      <c r="AH206" s="7"/>
      <c r="AK206" s="7"/>
    </row>
    <row r="207" spans="1:37">
      <c r="A207" s="1"/>
      <c r="B207" s="1"/>
      <c r="D207" s="7"/>
      <c r="G207" s="7"/>
      <c r="J207" s="7"/>
      <c r="M207" s="7"/>
      <c r="P207" s="7"/>
      <c r="S207" s="7"/>
      <c r="V207" s="7"/>
      <c r="Y207" s="6"/>
      <c r="AB207" s="7"/>
      <c r="AE207" s="7"/>
      <c r="AH207" s="7"/>
      <c r="AK207" s="7"/>
    </row>
    <row r="208" spans="1:37">
      <c r="A208" s="1"/>
      <c r="B208" s="1"/>
      <c r="D208" s="7"/>
      <c r="G208" s="7"/>
      <c r="J208" s="7"/>
      <c r="M208" s="7"/>
      <c r="P208" s="7"/>
      <c r="S208" s="7"/>
      <c r="V208" s="7"/>
      <c r="Y208" s="6"/>
      <c r="AB208" s="7"/>
      <c r="AE208" s="7"/>
      <c r="AH208" s="7"/>
      <c r="AK208" s="7"/>
    </row>
    <row r="209" spans="1:37">
      <c r="A209" s="1"/>
      <c r="B209" s="1"/>
      <c r="D209" s="7"/>
      <c r="G209" s="7"/>
      <c r="J209" s="7"/>
      <c r="M209" s="7"/>
      <c r="P209" s="7"/>
      <c r="S209" s="7"/>
      <c r="V209" s="7"/>
      <c r="Y209" s="6"/>
      <c r="AB209" s="7"/>
      <c r="AE209" s="7"/>
      <c r="AH209" s="7"/>
      <c r="AK209" s="7"/>
    </row>
    <row r="210" spans="1:37">
      <c r="A210" s="1"/>
      <c r="B210" s="1"/>
      <c r="D210" s="7"/>
      <c r="G210" s="7"/>
      <c r="J210" s="7"/>
      <c r="M210" s="7"/>
      <c r="P210" s="7"/>
      <c r="S210" s="7"/>
      <c r="V210" s="7"/>
      <c r="Y210" s="6"/>
      <c r="AB210" s="7"/>
      <c r="AE210" s="7"/>
      <c r="AH210" s="7"/>
      <c r="AK210" s="7"/>
    </row>
    <row r="211" spans="1:37">
      <c r="A211" s="1"/>
      <c r="B211" s="1"/>
      <c r="D211" s="7"/>
      <c r="G211" s="7"/>
      <c r="J211" s="7"/>
      <c r="M211" s="7"/>
      <c r="P211" s="7"/>
      <c r="S211" s="7"/>
      <c r="V211" s="7"/>
      <c r="Y211" s="6"/>
      <c r="AB211" s="7"/>
      <c r="AE211" s="7"/>
      <c r="AH211" s="7"/>
      <c r="AK211" s="7"/>
    </row>
    <row r="212" spans="1:37">
      <c r="A212" s="1"/>
      <c r="B212" s="1"/>
      <c r="D212" s="7"/>
      <c r="G212" s="7"/>
      <c r="J212" s="7"/>
      <c r="M212" s="7"/>
      <c r="P212" s="7"/>
      <c r="S212" s="7"/>
      <c r="V212" s="7"/>
      <c r="Y212" s="6"/>
      <c r="AB212" s="7"/>
      <c r="AE212" s="7"/>
      <c r="AH212" s="7"/>
      <c r="AK212" s="7"/>
    </row>
    <row r="213" spans="1:37">
      <c r="A213" s="1"/>
      <c r="B213" s="1"/>
      <c r="D213" s="7"/>
      <c r="G213" s="7"/>
      <c r="J213" s="7"/>
      <c r="M213" s="7"/>
      <c r="P213" s="7"/>
      <c r="S213" s="7"/>
      <c r="V213" s="7"/>
      <c r="Y213" s="6"/>
      <c r="AB213" s="7"/>
      <c r="AE213" s="7"/>
      <c r="AH213" s="7"/>
      <c r="AK213" s="7"/>
    </row>
    <row r="214" spans="1:37">
      <c r="A214" s="1"/>
      <c r="B214" s="1"/>
      <c r="D214" s="7"/>
      <c r="G214" s="7"/>
      <c r="J214" s="7"/>
      <c r="M214" s="7"/>
      <c r="P214" s="7"/>
      <c r="S214" s="7"/>
      <c r="V214" s="7"/>
      <c r="Y214" s="6"/>
      <c r="AB214" s="7"/>
      <c r="AE214" s="7"/>
      <c r="AH214" s="7"/>
      <c r="AK214" s="7"/>
    </row>
    <row r="215" spans="1:37">
      <c r="A215" s="1"/>
      <c r="B215" s="1"/>
      <c r="D215" s="7"/>
      <c r="G215" s="7"/>
      <c r="J215" s="7"/>
      <c r="M215" s="7"/>
      <c r="P215" s="7"/>
      <c r="S215" s="7"/>
      <c r="V215" s="7"/>
      <c r="Y215" s="6"/>
      <c r="AB215" s="7"/>
      <c r="AE215" s="7"/>
      <c r="AH215" s="7"/>
      <c r="AK215" s="7"/>
    </row>
    <row r="216" spans="1:37">
      <c r="A216" s="1"/>
      <c r="B216" s="1"/>
      <c r="D216" s="7"/>
      <c r="G216" s="7"/>
      <c r="J216" s="7"/>
      <c r="M216" s="7"/>
      <c r="P216" s="7"/>
      <c r="S216" s="7"/>
      <c r="V216" s="7"/>
      <c r="Y216" s="6"/>
      <c r="AB216" s="7"/>
      <c r="AE216" s="7"/>
      <c r="AH216" s="7"/>
      <c r="AK216" s="7"/>
    </row>
    <row r="217" spans="1:37">
      <c r="A217" s="1"/>
      <c r="B217" s="1"/>
      <c r="D217" s="7"/>
      <c r="G217" s="7"/>
      <c r="J217" s="7"/>
      <c r="M217" s="7"/>
      <c r="P217" s="7"/>
      <c r="S217" s="7"/>
      <c r="V217" s="7"/>
      <c r="Y217" s="6"/>
      <c r="AB217" s="7"/>
      <c r="AE217" s="7"/>
      <c r="AH217" s="7"/>
      <c r="AK217" s="7"/>
    </row>
    <row r="218" spans="1:37">
      <c r="A218" s="1"/>
      <c r="B218" s="1"/>
      <c r="D218" s="7"/>
      <c r="G218" s="7"/>
      <c r="J218" s="7"/>
      <c r="M218" s="7"/>
      <c r="P218" s="7"/>
      <c r="S218" s="7"/>
      <c r="V218" s="7"/>
      <c r="Y218" s="6"/>
      <c r="AB218" s="7"/>
      <c r="AE218" s="7"/>
      <c r="AH218" s="7"/>
      <c r="AK218" s="7"/>
    </row>
    <row r="219" spans="1:37">
      <c r="A219" s="1"/>
      <c r="B219" s="1"/>
      <c r="D219" s="7"/>
      <c r="G219" s="7"/>
      <c r="J219" s="7"/>
      <c r="M219" s="7"/>
      <c r="P219" s="7"/>
      <c r="S219" s="7"/>
      <c r="V219" s="7"/>
      <c r="Y219" s="6"/>
      <c r="AB219" s="7"/>
      <c r="AE219" s="7"/>
      <c r="AH219" s="7"/>
      <c r="AK219" s="7"/>
    </row>
    <row r="220" spans="1:37">
      <c r="A220" s="1"/>
      <c r="B220" s="1"/>
      <c r="D220" s="7"/>
      <c r="G220" s="7"/>
      <c r="J220" s="7"/>
      <c r="M220" s="7"/>
      <c r="P220" s="7"/>
      <c r="S220" s="7"/>
      <c r="V220" s="7"/>
      <c r="Y220" s="6"/>
      <c r="AB220" s="7"/>
      <c r="AE220" s="7"/>
      <c r="AH220" s="7"/>
      <c r="AK220" s="7"/>
    </row>
    <row r="221" spans="1:37">
      <c r="A221" s="1"/>
      <c r="B221" s="1"/>
      <c r="D221" s="7"/>
      <c r="G221" s="7"/>
      <c r="J221" s="7"/>
      <c r="M221" s="7"/>
      <c r="P221" s="7"/>
      <c r="S221" s="7"/>
      <c r="V221" s="7"/>
      <c r="Y221" s="6"/>
      <c r="AB221" s="7"/>
      <c r="AE221" s="7"/>
      <c r="AH221" s="7"/>
      <c r="AK221" s="7"/>
    </row>
    <row r="222" spans="1:37">
      <c r="A222" s="1"/>
      <c r="B222" s="1"/>
      <c r="D222" s="7"/>
      <c r="G222" s="7"/>
      <c r="J222" s="7"/>
      <c r="M222" s="7"/>
      <c r="P222" s="7"/>
      <c r="S222" s="7"/>
      <c r="V222" s="7"/>
      <c r="Y222" s="6"/>
      <c r="AB222" s="7"/>
      <c r="AE222" s="7"/>
      <c r="AH222" s="7"/>
      <c r="AK222" s="7"/>
    </row>
    <row r="223" spans="1:37">
      <c r="A223" s="1"/>
      <c r="B223" s="1"/>
      <c r="D223" s="7"/>
      <c r="G223" s="7"/>
      <c r="J223" s="7"/>
      <c r="M223" s="7"/>
      <c r="P223" s="7"/>
      <c r="S223" s="7"/>
      <c r="V223" s="7"/>
      <c r="Y223" s="6"/>
      <c r="AB223" s="7"/>
      <c r="AE223" s="7"/>
      <c r="AH223" s="7"/>
      <c r="AK223" s="7"/>
    </row>
    <row r="224" spans="1:37">
      <c r="A224" s="1"/>
      <c r="B224" s="1"/>
      <c r="D224" s="7"/>
      <c r="G224" s="7"/>
      <c r="J224" s="7"/>
      <c r="M224" s="7"/>
      <c r="P224" s="7"/>
      <c r="S224" s="7"/>
      <c r="V224" s="7"/>
      <c r="Y224" s="6"/>
      <c r="AB224" s="7"/>
      <c r="AE224" s="7"/>
      <c r="AH224" s="7"/>
      <c r="AK224" s="7"/>
    </row>
    <row r="225" spans="1:37">
      <c r="A225" s="1"/>
      <c r="B225" s="1"/>
      <c r="D225" s="7"/>
      <c r="G225" s="7"/>
      <c r="J225" s="7"/>
      <c r="M225" s="7"/>
      <c r="P225" s="7"/>
      <c r="S225" s="7"/>
      <c r="V225" s="7"/>
      <c r="Y225" s="6"/>
      <c r="AB225" s="7"/>
      <c r="AE225" s="7"/>
      <c r="AH225" s="7"/>
      <c r="AK225" s="7"/>
    </row>
    <row r="226" spans="1:37">
      <c r="A226" s="1"/>
      <c r="B226" s="1"/>
      <c r="D226" s="7"/>
      <c r="G226" s="7"/>
      <c r="J226" s="7"/>
      <c r="M226" s="7"/>
      <c r="P226" s="7"/>
      <c r="S226" s="7"/>
      <c r="V226" s="7"/>
      <c r="Y226" s="6"/>
      <c r="AB226" s="7"/>
      <c r="AE226" s="7"/>
      <c r="AH226" s="7"/>
      <c r="AK226" s="7"/>
    </row>
    <row r="227" spans="1:37">
      <c r="A227" s="1"/>
      <c r="B227" s="1"/>
      <c r="D227" s="7"/>
      <c r="G227" s="7"/>
      <c r="J227" s="7"/>
      <c r="M227" s="7"/>
      <c r="P227" s="7"/>
      <c r="S227" s="7"/>
      <c r="V227" s="7"/>
      <c r="Y227" s="6"/>
      <c r="AB227" s="7"/>
      <c r="AE227" s="7"/>
      <c r="AH227" s="7"/>
      <c r="AK227" s="7"/>
    </row>
    <row r="228" spans="1:37">
      <c r="A228" s="1"/>
      <c r="B228" s="1"/>
      <c r="D228" s="7"/>
      <c r="G228" s="7"/>
      <c r="J228" s="7"/>
      <c r="M228" s="7"/>
      <c r="P228" s="7"/>
      <c r="S228" s="7"/>
      <c r="V228" s="7"/>
      <c r="Y228" s="6"/>
      <c r="AB228" s="7"/>
      <c r="AE228" s="7"/>
      <c r="AH228" s="7"/>
      <c r="AK228" s="7"/>
    </row>
    <row r="229" spans="1:37">
      <c r="A229" s="1"/>
      <c r="B229" s="1"/>
      <c r="D229" s="7"/>
      <c r="G229" s="7"/>
      <c r="J229" s="7"/>
      <c r="M229" s="7"/>
      <c r="P229" s="7"/>
      <c r="S229" s="7"/>
      <c r="V229" s="7"/>
      <c r="Y229" s="6"/>
      <c r="AB229" s="7"/>
      <c r="AE229" s="7"/>
      <c r="AH229" s="7"/>
      <c r="AK229" s="7"/>
    </row>
    <row r="230" spans="1:37">
      <c r="A230" s="1"/>
      <c r="B230" s="1"/>
      <c r="D230" s="7"/>
      <c r="G230" s="7"/>
      <c r="J230" s="7"/>
      <c r="M230" s="7"/>
      <c r="P230" s="7"/>
      <c r="S230" s="7"/>
      <c r="V230" s="7"/>
      <c r="Y230" s="6"/>
      <c r="AB230" s="7"/>
      <c r="AE230" s="7"/>
      <c r="AH230" s="7"/>
      <c r="AK230" s="7"/>
    </row>
    <row r="231" spans="1:37">
      <c r="A231" s="1"/>
      <c r="B231" s="1"/>
      <c r="D231" s="7"/>
      <c r="G231" s="7"/>
      <c r="J231" s="7"/>
      <c r="M231" s="7"/>
      <c r="P231" s="7"/>
      <c r="S231" s="7"/>
      <c r="V231" s="7"/>
      <c r="Y231" s="6"/>
      <c r="AB231" s="7"/>
      <c r="AE231" s="7"/>
      <c r="AH231" s="7"/>
      <c r="AK231" s="7"/>
    </row>
    <row r="232" spans="1:37">
      <c r="A232" s="1"/>
      <c r="B232" s="1"/>
      <c r="D232" s="7"/>
      <c r="G232" s="7"/>
      <c r="J232" s="7"/>
      <c r="M232" s="7"/>
      <c r="P232" s="7"/>
      <c r="S232" s="7"/>
      <c r="V232" s="7"/>
      <c r="Y232" s="6"/>
      <c r="AB232" s="7"/>
      <c r="AE232" s="7"/>
      <c r="AH232" s="7"/>
      <c r="AK232" s="7"/>
    </row>
    <row r="233" spans="1:37">
      <c r="A233" s="1"/>
      <c r="B233" s="1"/>
      <c r="D233" s="7"/>
      <c r="G233" s="7"/>
      <c r="J233" s="7"/>
      <c r="M233" s="7"/>
      <c r="P233" s="7"/>
      <c r="S233" s="7"/>
      <c r="V233" s="7"/>
      <c r="Y233" s="6"/>
      <c r="AB233" s="7"/>
      <c r="AE233" s="7"/>
      <c r="AH233" s="7"/>
      <c r="AK233" s="7"/>
    </row>
    <row r="234" spans="1:37">
      <c r="A234" s="1"/>
      <c r="B234" s="1"/>
      <c r="D234" s="7"/>
      <c r="G234" s="7"/>
      <c r="J234" s="7"/>
      <c r="M234" s="7"/>
      <c r="P234" s="7"/>
      <c r="S234" s="7"/>
      <c r="V234" s="7"/>
      <c r="Y234" s="6"/>
      <c r="AB234" s="7"/>
      <c r="AE234" s="7"/>
      <c r="AH234" s="7"/>
      <c r="AK234" s="7"/>
    </row>
    <row r="235" spans="1:37">
      <c r="A235" s="1"/>
      <c r="B235" s="1"/>
      <c r="D235" s="7"/>
      <c r="G235" s="7"/>
      <c r="J235" s="7"/>
      <c r="M235" s="7"/>
      <c r="P235" s="7"/>
      <c r="S235" s="7"/>
      <c r="V235" s="7"/>
      <c r="Y235" s="6"/>
      <c r="AB235" s="7"/>
      <c r="AE235" s="7"/>
      <c r="AH235" s="7"/>
      <c r="AK235" s="7"/>
    </row>
    <row r="236" spans="1:37">
      <c r="A236" s="1"/>
      <c r="B236" s="1"/>
      <c r="D236" s="7"/>
      <c r="G236" s="7"/>
      <c r="J236" s="7"/>
      <c r="M236" s="7"/>
      <c r="P236" s="7"/>
      <c r="S236" s="7"/>
      <c r="V236" s="7"/>
      <c r="Y236" s="6"/>
      <c r="AB236" s="7"/>
      <c r="AE236" s="7"/>
      <c r="AH236" s="7"/>
      <c r="AK236" s="7"/>
    </row>
    <row r="237" spans="1:37">
      <c r="A237" s="1"/>
      <c r="B237" s="1"/>
      <c r="D237" s="7"/>
      <c r="G237" s="7"/>
      <c r="J237" s="7"/>
      <c r="M237" s="7"/>
      <c r="P237" s="7"/>
      <c r="S237" s="7"/>
      <c r="V237" s="7"/>
      <c r="Y237" s="6"/>
      <c r="AB237" s="7"/>
      <c r="AE237" s="7"/>
      <c r="AH237" s="7"/>
      <c r="AK237" s="7"/>
    </row>
    <row r="238" spans="1:37">
      <c r="A238" s="1"/>
      <c r="B238" s="1"/>
      <c r="D238" s="7"/>
      <c r="G238" s="7"/>
      <c r="J238" s="7"/>
      <c r="M238" s="7"/>
      <c r="P238" s="7"/>
      <c r="S238" s="7"/>
      <c r="V238" s="7"/>
      <c r="Y238" s="6"/>
      <c r="AB238" s="7"/>
      <c r="AE238" s="7"/>
      <c r="AH238" s="7"/>
      <c r="AK238" s="7"/>
    </row>
    <row r="239" spans="1:37">
      <c r="A239" s="1"/>
      <c r="B239" s="1"/>
      <c r="D239" s="7"/>
      <c r="G239" s="7"/>
      <c r="J239" s="7"/>
      <c r="M239" s="7"/>
      <c r="P239" s="7"/>
      <c r="S239" s="7"/>
      <c r="V239" s="7"/>
      <c r="Y239" s="6"/>
      <c r="AB239" s="7"/>
      <c r="AE239" s="7"/>
      <c r="AH239" s="7"/>
      <c r="AK239" s="7"/>
    </row>
    <row r="240" spans="1:37">
      <c r="A240" s="1"/>
      <c r="B240" s="1"/>
      <c r="D240" s="7"/>
      <c r="G240" s="7"/>
      <c r="J240" s="7"/>
      <c r="M240" s="7"/>
      <c r="P240" s="7"/>
      <c r="S240" s="7"/>
      <c r="V240" s="7"/>
      <c r="Y240" s="6"/>
      <c r="AB240" s="7"/>
      <c r="AE240" s="7"/>
      <c r="AH240" s="7"/>
      <c r="AK240" s="7"/>
    </row>
    <row r="241" spans="1:37">
      <c r="A241" s="1"/>
      <c r="B241" s="1"/>
      <c r="D241" s="7"/>
      <c r="G241" s="7"/>
      <c r="J241" s="7"/>
      <c r="M241" s="7"/>
      <c r="P241" s="7"/>
      <c r="S241" s="7"/>
      <c r="V241" s="7"/>
      <c r="Y241" s="6"/>
      <c r="AB241" s="7"/>
      <c r="AE241" s="7"/>
      <c r="AH241" s="7"/>
      <c r="AK241" s="7"/>
    </row>
    <row r="242" spans="1:37">
      <c r="A242" s="1"/>
      <c r="B242" s="1"/>
      <c r="D242" s="7"/>
      <c r="G242" s="7"/>
      <c r="J242" s="7"/>
      <c r="M242" s="7"/>
      <c r="P242" s="7"/>
      <c r="S242" s="7"/>
      <c r="V242" s="7"/>
      <c r="Y242" s="6"/>
      <c r="AB242" s="7"/>
      <c r="AE242" s="7"/>
      <c r="AH242" s="7"/>
      <c r="AK242" s="7"/>
    </row>
    <row r="243" spans="1:37">
      <c r="A243" s="1"/>
      <c r="B243" s="1"/>
      <c r="D243" s="7"/>
      <c r="G243" s="7"/>
      <c r="J243" s="7"/>
      <c r="M243" s="7"/>
      <c r="P243" s="7"/>
      <c r="S243" s="7"/>
      <c r="V243" s="7"/>
      <c r="Y243" s="6"/>
      <c r="AB243" s="7"/>
      <c r="AE243" s="7"/>
      <c r="AH243" s="7"/>
      <c r="AK243" s="7"/>
    </row>
    <row r="244" spans="1:37">
      <c r="A244" s="1"/>
      <c r="B244" s="1"/>
      <c r="D244" s="7"/>
      <c r="G244" s="7"/>
      <c r="J244" s="7"/>
      <c r="M244" s="7"/>
      <c r="P244" s="7"/>
      <c r="S244" s="7"/>
      <c r="V244" s="7"/>
      <c r="Y244" s="6"/>
      <c r="AB244" s="7"/>
      <c r="AE244" s="7"/>
      <c r="AH244" s="7"/>
      <c r="AK244" s="7"/>
    </row>
    <row r="245" spans="1:37">
      <c r="A245" s="1"/>
      <c r="B245" s="1"/>
      <c r="D245" s="7"/>
      <c r="G245" s="7"/>
      <c r="J245" s="7"/>
      <c r="M245" s="7"/>
      <c r="P245" s="7"/>
      <c r="S245" s="7"/>
      <c r="V245" s="7"/>
      <c r="Y245" s="6"/>
      <c r="AB245" s="7"/>
      <c r="AE245" s="7"/>
      <c r="AH245" s="7"/>
      <c r="AK245" s="7"/>
    </row>
    <row r="246" spans="1:37">
      <c r="A246" s="1"/>
      <c r="B246" s="1"/>
      <c r="D246" s="7"/>
      <c r="G246" s="7"/>
      <c r="J246" s="7"/>
      <c r="M246" s="7"/>
      <c r="P246" s="7"/>
      <c r="S246" s="7"/>
      <c r="V246" s="7"/>
      <c r="Y246" s="6"/>
      <c r="AB246" s="7"/>
      <c r="AE246" s="7"/>
      <c r="AH246" s="7"/>
      <c r="AK246" s="7"/>
    </row>
    <row r="247" spans="1:37">
      <c r="A247" s="1"/>
      <c r="B247" s="1"/>
      <c r="D247" s="7"/>
      <c r="G247" s="7"/>
      <c r="J247" s="7"/>
      <c r="M247" s="7"/>
      <c r="P247" s="7"/>
      <c r="S247" s="7"/>
      <c r="V247" s="7"/>
      <c r="Y247" s="6"/>
      <c r="AB247" s="7"/>
      <c r="AE247" s="7"/>
      <c r="AH247" s="7"/>
      <c r="AK247" s="7"/>
    </row>
    <row r="248" spans="1:37">
      <c r="A248" s="1"/>
      <c r="B248" s="1"/>
      <c r="D248" s="7"/>
      <c r="G248" s="7"/>
      <c r="J248" s="7"/>
      <c r="M248" s="7"/>
      <c r="P248" s="7"/>
      <c r="S248" s="7"/>
      <c r="V248" s="7"/>
      <c r="Y248" s="6"/>
      <c r="AB248" s="7"/>
      <c r="AE248" s="7"/>
      <c r="AH248" s="7"/>
      <c r="AK248" s="7"/>
    </row>
    <row r="249" spans="1:37">
      <c r="A249" s="1"/>
      <c r="B249" s="1"/>
      <c r="D249" s="7"/>
      <c r="G249" s="7"/>
      <c r="J249" s="7"/>
      <c r="M249" s="7"/>
      <c r="P249" s="7"/>
      <c r="S249" s="7"/>
      <c r="V249" s="7"/>
      <c r="Y249" s="6"/>
      <c r="AB249" s="7"/>
      <c r="AE249" s="7"/>
      <c r="AH249" s="7"/>
      <c r="AK249" s="7"/>
    </row>
    <row r="250" spans="1:37">
      <c r="A250" s="1"/>
      <c r="B250" s="1"/>
      <c r="D250" s="7"/>
      <c r="G250" s="7"/>
      <c r="J250" s="7"/>
      <c r="M250" s="7"/>
      <c r="P250" s="7"/>
      <c r="S250" s="7"/>
      <c r="V250" s="7"/>
      <c r="Y250" s="6"/>
      <c r="AB250" s="7"/>
      <c r="AE250" s="7"/>
      <c r="AH250" s="7"/>
      <c r="AK250" s="7"/>
    </row>
    <row r="251" spans="1:37">
      <c r="A251" s="1"/>
      <c r="B251" s="1"/>
      <c r="D251" s="7"/>
      <c r="G251" s="7"/>
      <c r="J251" s="7"/>
      <c r="M251" s="7"/>
      <c r="P251" s="7"/>
      <c r="S251" s="7"/>
      <c r="V251" s="7"/>
      <c r="Y251" s="6"/>
      <c r="AB251" s="7"/>
      <c r="AE251" s="7"/>
      <c r="AH251" s="7"/>
      <c r="AK251" s="7"/>
    </row>
    <row r="252" spans="1:37">
      <c r="A252" s="1"/>
      <c r="B252" s="1"/>
      <c r="D252" s="7"/>
      <c r="G252" s="7"/>
      <c r="J252" s="7"/>
      <c r="M252" s="7"/>
      <c r="P252" s="7"/>
      <c r="S252" s="7"/>
      <c r="V252" s="7"/>
      <c r="Y252" s="6"/>
      <c r="AB252" s="7"/>
      <c r="AE252" s="7"/>
      <c r="AH252" s="7"/>
      <c r="AK252" s="7"/>
    </row>
    <row r="253" spans="1:37">
      <c r="A253" s="1"/>
      <c r="B253" s="1"/>
      <c r="D253" s="7"/>
      <c r="G253" s="7"/>
      <c r="J253" s="7"/>
      <c r="M253" s="7"/>
      <c r="P253" s="7"/>
      <c r="S253" s="7"/>
      <c r="V253" s="7"/>
      <c r="Y253" s="6"/>
      <c r="AB253" s="7"/>
      <c r="AE253" s="7"/>
      <c r="AH253" s="7"/>
      <c r="AK253" s="7"/>
    </row>
    <row r="254" spans="1:37">
      <c r="A254" s="1"/>
      <c r="B254" s="1"/>
      <c r="D254" s="7"/>
      <c r="G254" s="7"/>
      <c r="J254" s="7"/>
      <c r="M254" s="7"/>
      <c r="P254" s="7"/>
      <c r="S254" s="7"/>
      <c r="V254" s="7"/>
      <c r="Y254" s="6"/>
      <c r="AB254" s="7"/>
      <c r="AE254" s="7"/>
      <c r="AH254" s="7"/>
      <c r="AK254" s="7"/>
    </row>
    <row r="255" spans="1:37">
      <c r="A255" s="1"/>
      <c r="B255" s="1"/>
      <c r="D255" s="7"/>
      <c r="G255" s="7"/>
      <c r="J255" s="7"/>
      <c r="M255" s="7"/>
      <c r="P255" s="7"/>
      <c r="S255" s="7"/>
      <c r="V255" s="7"/>
      <c r="Y255" s="6"/>
      <c r="AB255" s="7"/>
      <c r="AE255" s="7"/>
      <c r="AH255" s="7"/>
      <c r="AK255" s="7"/>
    </row>
    <row r="256" spans="1:37">
      <c r="A256" s="1"/>
      <c r="B256" s="1"/>
      <c r="D256" s="7"/>
      <c r="G256" s="7"/>
      <c r="J256" s="7"/>
      <c r="M256" s="7"/>
      <c r="P256" s="7"/>
      <c r="S256" s="7"/>
      <c r="V256" s="7"/>
      <c r="Y256" s="6"/>
      <c r="AB256" s="7"/>
      <c r="AE256" s="7"/>
      <c r="AH256" s="7"/>
      <c r="AK256" s="7"/>
    </row>
    <row r="257" spans="1:37">
      <c r="A257" s="1"/>
      <c r="B257" s="1"/>
      <c r="D257" s="7"/>
      <c r="G257" s="7"/>
      <c r="J257" s="7"/>
      <c r="M257" s="7"/>
      <c r="P257" s="7"/>
      <c r="S257" s="7"/>
      <c r="V257" s="7"/>
      <c r="Y257" s="6"/>
      <c r="AB257" s="7"/>
      <c r="AE257" s="7"/>
      <c r="AH257" s="7"/>
      <c r="AK257" s="7"/>
    </row>
    <row r="258" spans="1:37">
      <c r="A258" s="1"/>
      <c r="B258" s="1"/>
      <c r="D258" s="7"/>
      <c r="G258" s="7"/>
      <c r="J258" s="7"/>
      <c r="M258" s="7"/>
      <c r="P258" s="7"/>
      <c r="S258" s="7"/>
      <c r="V258" s="7"/>
      <c r="Y258" s="6"/>
      <c r="AB258" s="7"/>
      <c r="AE258" s="7"/>
      <c r="AH258" s="7"/>
      <c r="AK258" s="7"/>
    </row>
    <row r="259" spans="1:37">
      <c r="A259" s="1"/>
      <c r="B259" s="1"/>
      <c r="D259" s="7"/>
      <c r="G259" s="7"/>
      <c r="J259" s="7"/>
      <c r="M259" s="7"/>
      <c r="P259" s="7"/>
      <c r="S259" s="7"/>
      <c r="V259" s="7"/>
      <c r="Y259" s="6"/>
      <c r="AB259" s="7"/>
      <c r="AE259" s="7"/>
      <c r="AH259" s="7"/>
      <c r="AK259" s="7"/>
    </row>
    <row r="260" spans="1:37">
      <c r="A260" s="1"/>
      <c r="B260" s="1"/>
      <c r="D260" s="7"/>
      <c r="G260" s="7"/>
      <c r="J260" s="7"/>
      <c r="M260" s="7"/>
      <c r="P260" s="7"/>
      <c r="S260" s="7"/>
      <c r="V260" s="7"/>
      <c r="Y260" s="6"/>
      <c r="AB260" s="7"/>
      <c r="AE260" s="7"/>
      <c r="AH260" s="7"/>
      <c r="AK260" s="7"/>
    </row>
    <row r="261" spans="1:37">
      <c r="A261" s="1"/>
      <c r="B261" s="1"/>
      <c r="D261" s="7"/>
      <c r="G261" s="7"/>
      <c r="J261" s="7"/>
      <c r="M261" s="7"/>
      <c r="P261" s="7"/>
      <c r="S261" s="7"/>
      <c r="V261" s="7"/>
      <c r="Y261" s="6"/>
      <c r="AB261" s="7"/>
      <c r="AE261" s="7"/>
      <c r="AH261" s="7"/>
      <c r="AK261" s="7"/>
    </row>
    <row r="262" spans="1:37">
      <c r="A262" s="1"/>
      <c r="B262" s="1"/>
      <c r="D262" s="7"/>
      <c r="G262" s="7"/>
      <c r="J262" s="7"/>
      <c r="M262" s="7"/>
      <c r="P262" s="7"/>
      <c r="S262" s="7"/>
      <c r="V262" s="7"/>
      <c r="Y262" s="6"/>
      <c r="AB262" s="7"/>
      <c r="AE262" s="7"/>
      <c r="AH262" s="7"/>
      <c r="AK262" s="7"/>
    </row>
    <row r="263" spans="1:37">
      <c r="A263" s="1"/>
      <c r="B263" s="1"/>
      <c r="D263" s="7"/>
      <c r="G263" s="7"/>
      <c r="J263" s="7"/>
      <c r="M263" s="7"/>
      <c r="P263" s="7"/>
      <c r="S263" s="7"/>
      <c r="V263" s="7"/>
      <c r="Y263" s="6"/>
      <c r="AB263" s="7"/>
      <c r="AE263" s="7"/>
      <c r="AH263" s="7"/>
      <c r="AK263" s="7"/>
    </row>
    <row r="264" spans="1:37">
      <c r="A264" s="1"/>
      <c r="B264" s="1"/>
      <c r="D264" s="7"/>
      <c r="G264" s="7"/>
      <c r="J264" s="7"/>
      <c r="M264" s="7"/>
      <c r="P264" s="7"/>
      <c r="S264" s="7"/>
      <c r="V264" s="7"/>
      <c r="Y264" s="6"/>
      <c r="AB264" s="7"/>
      <c r="AE264" s="7"/>
      <c r="AH264" s="7"/>
      <c r="AK264" s="7"/>
    </row>
    <row r="265" spans="1:37">
      <c r="A265" s="1"/>
      <c r="B265" s="1"/>
      <c r="D265" s="7"/>
      <c r="G265" s="7"/>
      <c r="J265" s="7"/>
      <c r="M265" s="7"/>
      <c r="P265" s="7"/>
      <c r="S265" s="7"/>
      <c r="V265" s="7"/>
      <c r="Y265" s="6"/>
      <c r="AB265" s="7"/>
      <c r="AE265" s="7"/>
      <c r="AH265" s="7"/>
      <c r="AK265" s="7"/>
    </row>
    <row r="266" spans="1:37">
      <c r="A266" s="1"/>
      <c r="B266" s="1"/>
      <c r="D266" s="7"/>
      <c r="G266" s="7"/>
      <c r="J266" s="7"/>
      <c r="M266" s="7"/>
      <c r="P266" s="7"/>
      <c r="S266" s="7"/>
      <c r="V266" s="7"/>
      <c r="Y266" s="6"/>
      <c r="AB266" s="7"/>
      <c r="AE266" s="7"/>
      <c r="AH266" s="7"/>
      <c r="AK266" s="7"/>
    </row>
    <row r="267" spans="1:37">
      <c r="A267" s="1"/>
      <c r="B267" s="1"/>
      <c r="D267" s="7"/>
      <c r="G267" s="7"/>
      <c r="J267" s="7"/>
      <c r="M267" s="7"/>
      <c r="P267" s="7"/>
      <c r="S267" s="7"/>
      <c r="V267" s="7"/>
      <c r="Y267" s="6"/>
      <c r="AB267" s="7"/>
      <c r="AE267" s="7"/>
      <c r="AH267" s="7"/>
      <c r="AK267" s="7"/>
    </row>
    <row r="268" spans="1:37">
      <c r="A268" s="1"/>
      <c r="B268" s="1"/>
      <c r="D268" s="7"/>
      <c r="G268" s="7"/>
      <c r="J268" s="7"/>
      <c r="M268" s="7"/>
      <c r="P268" s="7"/>
      <c r="S268" s="7"/>
      <c r="V268" s="7"/>
      <c r="Y268" s="6"/>
      <c r="AB268" s="7"/>
      <c r="AE268" s="7"/>
      <c r="AH268" s="7"/>
      <c r="AK268" s="7"/>
    </row>
    <row r="269" spans="1:37">
      <c r="A269" s="1"/>
      <c r="B269" s="1"/>
      <c r="D269" s="7"/>
      <c r="G269" s="7"/>
      <c r="J269" s="7"/>
      <c r="M269" s="7"/>
      <c r="P269" s="7"/>
      <c r="S269" s="7"/>
      <c r="V269" s="7"/>
      <c r="Y269" s="6"/>
      <c r="AB269" s="7"/>
      <c r="AE269" s="7"/>
      <c r="AH269" s="7"/>
      <c r="AK269" s="7"/>
    </row>
    <row r="270" spans="1:37">
      <c r="A270" s="1"/>
      <c r="B270" s="1"/>
      <c r="D270" s="7"/>
      <c r="G270" s="7"/>
      <c r="J270" s="7"/>
      <c r="M270" s="7"/>
      <c r="P270" s="7"/>
      <c r="S270" s="7"/>
      <c r="V270" s="7"/>
      <c r="Y270" s="6"/>
      <c r="AB270" s="7"/>
      <c r="AE270" s="7"/>
      <c r="AH270" s="7"/>
      <c r="AK270" s="7"/>
    </row>
    <row r="271" spans="1:37">
      <c r="A271" s="1"/>
      <c r="B271" s="1"/>
      <c r="D271" s="7"/>
      <c r="G271" s="7"/>
      <c r="J271" s="7"/>
      <c r="M271" s="7"/>
      <c r="P271" s="7"/>
      <c r="S271" s="7"/>
      <c r="V271" s="7"/>
      <c r="Y271" s="6"/>
      <c r="AB271" s="7"/>
      <c r="AE271" s="7"/>
      <c r="AH271" s="7"/>
      <c r="AK271" s="7"/>
    </row>
    <row r="272" spans="1:37">
      <c r="A272" s="1"/>
      <c r="B272" s="1"/>
      <c r="D272" s="7"/>
      <c r="G272" s="7"/>
      <c r="J272" s="7"/>
      <c r="M272" s="7"/>
      <c r="P272" s="7"/>
      <c r="S272" s="7"/>
      <c r="V272" s="7"/>
      <c r="Y272" s="6"/>
      <c r="AB272" s="7"/>
      <c r="AE272" s="7"/>
      <c r="AH272" s="7"/>
      <c r="AK272" s="7"/>
    </row>
    <row r="273" spans="1:37">
      <c r="A273" s="1"/>
      <c r="B273" s="1"/>
      <c r="D273" s="7"/>
      <c r="G273" s="7"/>
      <c r="J273" s="7"/>
      <c r="M273" s="7"/>
      <c r="P273" s="7"/>
      <c r="S273" s="7"/>
      <c r="V273" s="7"/>
      <c r="Y273" s="6"/>
      <c r="AB273" s="7"/>
      <c r="AE273" s="7"/>
      <c r="AH273" s="7"/>
      <c r="AK273" s="7"/>
    </row>
    <row r="274" spans="1:37">
      <c r="A274" s="1"/>
      <c r="B274" s="1"/>
      <c r="D274" s="7"/>
      <c r="G274" s="7"/>
      <c r="J274" s="7"/>
      <c r="M274" s="7"/>
      <c r="P274" s="7"/>
      <c r="S274" s="7"/>
      <c r="V274" s="7"/>
      <c r="Y274" s="6"/>
      <c r="AB274" s="7"/>
      <c r="AE274" s="7"/>
      <c r="AH274" s="7"/>
      <c r="AK274" s="7"/>
    </row>
    <row r="275" spans="1:37">
      <c r="A275" s="1"/>
      <c r="B275" s="1"/>
      <c r="D275" s="7"/>
      <c r="G275" s="7"/>
      <c r="J275" s="7"/>
      <c r="M275" s="7"/>
      <c r="P275" s="7"/>
      <c r="S275" s="7"/>
      <c r="V275" s="7"/>
      <c r="Y275" s="6"/>
      <c r="AB275" s="7"/>
      <c r="AE275" s="7"/>
      <c r="AH275" s="7"/>
      <c r="AK275" s="7"/>
    </row>
    <row r="276" spans="1:37">
      <c r="A276" s="1"/>
      <c r="B276" s="1"/>
      <c r="D276" s="7"/>
      <c r="G276" s="7"/>
      <c r="J276" s="7"/>
      <c r="M276" s="7"/>
      <c r="P276" s="7"/>
      <c r="S276" s="7"/>
      <c r="V276" s="7"/>
      <c r="Y276" s="6"/>
      <c r="AB276" s="7"/>
      <c r="AE276" s="7"/>
      <c r="AH276" s="7"/>
      <c r="AK276" s="7"/>
    </row>
    <row r="277" spans="1:37">
      <c r="A277" s="1"/>
      <c r="B277" s="1"/>
      <c r="D277" s="7"/>
      <c r="G277" s="7"/>
      <c r="J277" s="7"/>
      <c r="M277" s="7"/>
      <c r="P277" s="7"/>
      <c r="S277" s="7"/>
      <c r="V277" s="7"/>
      <c r="Y277" s="6"/>
      <c r="AB277" s="7"/>
      <c r="AE277" s="7"/>
      <c r="AH277" s="7"/>
      <c r="AK277" s="7"/>
    </row>
    <row r="278" spans="1:37">
      <c r="A278" s="1"/>
      <c r="B278" s="1"/>
      <c r="D278" s="7"/>
      <c r="G278" s="7"/>
      <c r="J278" s="7"/>
      <c r="M278" s="7"/>
      <c r="P278" s="7"/>
      <c r="S278" s="7"/>
      <c r="V278" s="7"/>
      <c r="Y278" s="6"/>
      <c r="AB278" s="7"/>
      <c r="AE278" s="7"/>
      <c r="AH278" s="7"/>
      <c r="AK278" s="7"/>
    </row>
    <row r="279" spans="1:37">
      <c r="A279" s="1"/>
      <c r="B279" s="1"/>
      <c r="D279" s="7"/>
      <c r="G279" s="7"/>
      <c r="J279" s="7"/>
      <c r="M279" s="7"/>
      <c r="P279" s="7"/>
      <c r="S279" s="7"/>
      <c r="V279" s="7"/>
      <c r="Y279" s="6"/>
      <c r="AB279" s="7"/>
      <c r="AE279" s="7"/>
      <c r="AH279" s="7"/>
      <c r="AK279" s="7"/>
    </row>
    <row r="280" spans="1:37">
      <c r="A280" s="1"/>
      <c r="B280" s="1"/>
      <c r="D280" s="7"/>
      <c r="G280" s="7"/>
      <c r="J280" s="7"/>
      <c r="M280" s="7"/>
      <c r="P280" s="7"/>
      <c r="S280" s="7"/>
      <c r="V280" s="7"/>
      <c r="Y280" s="6"/>
      <c r="AB280" s="7"/>
      <c r="AE280" s="7"/>
      <c r="AH280" s="7"/>
      <c r="AK280" s="7"/>
    </row>
    <row r="281" spans="1:37">
      <c r="A281" s="1"/>
      <c r="B281" s="1"/>
      <c r="D281" s="7"/>
      <c r="G281" s="7"/>
      <c r="J281" s="7"/>
      <c r="M281" s="7"/>
      <c r="P281" s="7"/>
      <c r="S281" s="7"/>
      <c r="V281" s="7"/>
      <c r="Y281" s="6"/>
      <c r="AB281" s="7"/>
      <c r="AE281" s="7"/>
      <c r="AH281" s="7"/>
      <c r="AK281" s="7"/>
    </row>
    <row r="282" spans="1:37">
      <c r="A282" s="1"/>
      <c r="B282" s="1"/>
      <c r="D282" s="7"/>
      <c r="G282" s="7"/>
      <c r="J282" s="7"/>
      <c r="M282" s="7"/>
      <c r="P282" s="7"/>
      <c r="S282" s="7"/>
      <c r="V282" s="7"/>
      <c r="Y282" s="6"/>
      <c r="AB282" s="7"/>
      <c r="AE282" s="7"/>
      <c r="AH282" s="7"/>
      <c r="AK282" s="7"/>
    </row>
    <row r="283" spans="1:37">
      <c r="A283" s="1"/>
      <c r="B283" s="1"/>
      <c r="D283" s="7"/>
      <c r="G283" s="7"/>
      <c r="J283" s="7"/>
      <c r="M283" s="7"/>
      <c r="P283" s="7"/>
      <c r="S283" s="7"/>
      <c r="V283" s="7"/>
      <c r="Y283" s="6"/>
      <c r="AB283" s="7"/>
      <c r="AE283" s="7"/>
      <c r="AH283" s="7"/>
      <c r="AK283" s="7"/>
    </row>
    <row r="284" spans="1:37">
      <c r="A284" s="1"/>
      <c r="B284" s="1"/>
      <c r="D284" s="7"/>
      <c r="G284" s="7"/>
      <c r="J284" s="7"/>
      <c r="M284" s="7"/>
      <c r="P284" s="7"/>
      <c r="S284" s="7"/>
      <c r="V284" s="7"/>
      <c r="Y284" s="6"/>
      <c r="AB284" s="7"/>
      <c r="AE284" s="7"/>
      <c r="AH284" s="7"/>
      <c r="AK284" s="7"/>
    </row>
    <row r="285" spans="1:37">
      <c r="A285" s="1"/>
      <c r="B285" s="1"/>
      <c r="D285" s="7"/>
      <c r="G285" s="7"/>
      <c r="J285" s="7"/>
      <c r="M285" s="7"/>
      <c r="P285" s="7"/>
      <c r="S285" s="7"/>
      <c r="V285" s="7"/>
      <c r="Y285" s="6"/>
      <c r="AB285" s="7"/>
      <c r="AE285" s="7"/>
      <c r="AH285" s="7"/>
      <c r="AK285" s="7"/>
    </row>
    <row r="286" spans="1:37">
      <c r="A286" s="1"/>
      <c r="B286" s="1"/>
      <c r="D286" s="7"/>
      <c r="G286" s="7"/>
      <c r="J286" s="7"/>
      <c r="M286" s="7"/>
      <c r="P286" s="7"/>
      <c r="S286" s="7"/>
      <c r="V286" s="7"/>
      <c r="Y286" s="6"/>
      <c r="AB286" s="7"/>
      <c r="AE286" s="7"/>
      <c r="AH286" s="7"/>
      <c r="AK286" s="7"/>
    </row>
    <row r="287" spans="1:37">
      <c r="A287" s="1"/>
      <c r="B287" s="1"/>
      <c r="D287" s="7"/>
      <c r="G287" s="7"/>
      <c r="J287" s="7"/>
      <c r="M287" s="7"/>
      <c r="P287" s="7"/>
      <c r="S287" s="7"/>
      <c r="V287" s="7"/>
      <c r="Y287" s="6"/>
      <c r="AB287" s="7"/>
      <c r="AE287" s="7"/>
      <c r="AH287" s="7"/>
      <c r="AK287" s="7"/>
    </row>
    <row r="288" spans="1:37">
      <c r="A288" s="1"/>
      <c r="B288" s="1"/>
      <c r="D288" s="7"/>
      <c r="G288" s="7"/>
      <c r="J288" s="7"/>
      <c r="M288" s="7"/>
      <c r="P288" s="7"/>
      <c r="S288" s="7"/>
      <c r="V288" s="7"/>
      <c r="Y288" s="6"/>
      <c r="AB288" s="7"/>
      <c r="AE288" s="7"/>
      <c r="AH288" s="7"/>
      <c r="AK288" s="7"/>
    </row>
    <row r="289" spans="1:37">
      <c r="A289" s="1"/>
      <c r="B289" s="1"/>
      <c r="D289" s="7"/>
      <c r="G289" s="7"/>
      <c r="J289" s="7"/>
      <c r="M289" s="7"/>
      <c r="P289" s="7"/>
      <c r="S289" s="7"/>
      <c r="V289" s="7"/>
      <c r="Y289" s="6"/>
      <c r="AB289" s="7"/>
      <c r="AE289" s="7"/>
      <c r="AH289" s="7"/>
      <c r="AK289" s="7"/>
    </row>
    <row r="290" spans="1:37">
      <c r="A290" s="1"/>
      <c r="B290" s="1"/>
      <c r="D290" s="7"/>
      <c r="G290" s="7"/>
      <c r="J290" s="7"/>
      <c r="M290" s="7"/>
      <c r="P290" s="7"/>
      <c r="S290" s="7"/>
      <c r="V290" s="7"/>
      <c r="Y290" s="6"/>
      <c r="AB290" s="7"/>
      <c r="AE290" s="7"/>
      <c r="AH290" s="7"/>
      <c r="AK290" s="7"/>
    </row>
    <row r="291" spans="1:37">
      <c r="A291" s="1"/>
      <c r="B291" s="1"/>
      <c r="D291" s="7"/>
      <c r="G291" s="7"/>
      <c r="J291" s="7"/>
      <c r="M291" s="7"/>
      <c r="P291" s="7"/>
      <c r="S291" s="7"/>
      <c r="V291" s="7"/>
      <c r="Y291" s="6"/>
      <c r="AB291" s="7"/>
      <c r="AE291" s="7"/>
      <c r="AH291" s="7"/>
      <c r="AK291" s="7"/>
    </row>
    <row r="292" spans="1:37">
      <c r="A292" s="1"/>
      <c r="B292" s="1"/>
      <c r="D292" s="7"/>
      <c r="G292" s="7"/>
      <c r="J292" s="7"/>
      <c r="M292" s="7"/>
      <c r="P292" s="7"/>
      <c r="S292" s="7"/>
      <c r="V292" s="7"/>
      <c r="Y292" s="6"/>
      <c r="AB292" s="7"/>
      <c r="AE292" s="7"/>
      <c r="AH292" s="7"/>
      <c r="AK292" s="7"/>
    </row>
    <row r="293" spans="1:37">
      <c r="A293" s="1"/>
      <c r="B293" s="1"/>
      <c r="D293" s="7"/>
      <c r="G293" s="7"/>
      <c r="J293" s="7"/>
      <c r="M293" s="7"/>
      <c r="P293" s="7"/>
      <c r="S293" s="7"/>
      <c r="V293" s="7"/>
      <c r="Y293" s="6"/>
      <c r="AB293" s="7"/>
      <c r="AE293" s="7"/>
      <c r="AH293" s="7"/>
      <c r="AK293" s="7"/>
    </row>
    <row r="294" spans="1:37">
      <c r="A294" s="1"/>
      <c r="B294" s="1"/>
      <c r="D294" s="7"/>
      <c r="G294" s="7"/>
      <c r="J294" s="7"/>
      <c r="M294" s="7"/>
      <c r="P294" s="7"/>
      <c r="S294" s="7"/>
      <c r="V294" s="7"/>
      <c r="Y294" s="6"/>
      <c r="AB294" s="7"/>
      <c r="AE294" s="7"/>
      <c r="AH294" s="7"/>
      <c r="AK294" s="7"/>
    </row>
    <row r="295" spans="1:37">
      <c r="A295" s="1"/>
      <c r="B295" s="1"/>
      <c r="D295" s="7"/>
      <c r="G295" s="7"/>
      <c r="J295" s="7"/>
      <c r="M295" s="7"/>
      <c r="P295" s="7"/>
      <c r="S295" s="7"/>
      <c r="V295" s="7"/>
      <c r="Y295" s="6"/>
      <c r="AB295" s="7"/>
      <c r="AE295" s="7"/>
      <c r="AH295" s="7"/>
      <c r="AK295" s="7"/>
    </row>
    <row r="296" spans="1:37">
      <c r="A296" s="1"/>
      <c r="B296" s="1"/>
      <c r="D296" s="7"/>
      <c r="G296" s="7"/>
      <c r="J296" s="7"/>
      <c r="M296" s="7"/>
      <c r="P296" s="7"/>
      <c r="S296" s="7"/>
      <c r="V296" s="7"/>
      <c r="Y296" s="6"/>
      <c r="AB296" s="7"/>
      <c r="AE296" s="7"/>
      <c r="AH296" s="7"/>
      <c r="AK296" s="7"/>
    </row>
    <row r="297" spans="1:37">
      <c r="A297" s="1"/>
      <c r="B297" s="1"/>
      <c r="D297" s="7"/>
      <c r="G297" s="7"/>
      <c r="J297" s="7"/>
      <c r="M297" s="7"/>
      <c r="P297" s="7"/>
      <c r="S297" s="7"/>
      <c r="V297" s="7"/>
      <c r="Y297" s="6"/>
      <c r="AB297" s="7"/>
      <c r="AE297" s="7"/>
      <c r="AH297" s="7"/>
      <c r="AK297" s="7"/>
    </row>
    <row r="298" spans="1:37">
      <c r="A298" s="1"/>
      <c r="B298" s="1"/>
      <c r="D298" s="7"/>
      <c r="G298" s="7"/>
      <c r="J298" s="7"/>
      <c r="M298" s="7"/>
      <c r="P298" s="7"/>
      <c r="S298" s="7"/>
      <c r="V298" s="7"/>
      <c r="Y298" s="6"/>
      <c r="AB298" s="7"/>
      <c r="AE298" s="7"/>
      <c r="AH298" s="7"/>
      <c r="AK298" s="7"/>
    </row>
    <row r="299" spans="1:37">
      <c r="A299" s="1"/>
      <c r="B299" s="1"/>
      <c r="D299" s="7"/>
      <c r="G299" s="7"/>
      <c r="J299" s="7"/>
      <c r="M299" s="7"/>
      <c r="P299" s="7"/>
      <c r="S299" s="7"/>
      <c r="V299" s="7"/>
      <c r="Y299" s="6"/>
      <c r="AB299" s="7"/>
      <c r="AE299" s="7"/>
      <c r="AH299" s="7"/>
      <c r="AK299" s="7"/>
    </row>
    <row r="300" spans="1:37">
      <c r="A300" s="1"/>
      <c r="B300" s="1"/>
      <c r="D300" s="7"/>
      <c r="G300" s="7"/>
      <c r="J300" s="7"/>
      <c r="M300" s="7"/>
      <c r="P300" s="7"/>
      <c r="S300" s="7"/>
      <c r="V300" s="7"/>
      <c r="Y300" s="6"/>
      <c r="AB300" s="7"/>
      <c r="AE300" s="7"/>
      <c r="AH300" s="7"/>
      <c r="AK300" s="7"/>
    </row>
    <row r="301" spans="1:37">
      <c r="A301" s="1"/>
      <c r="B301" s="1"/>
      <c r="D301" s="7"/>
      <c r="G301" s="7"/>
      <c r="J301" s="7"/>
      <c r="M301" s="7"/>
      <c r="P301" s="7"/>
      <c r="S301" s="7"/>
      <c r="V301" s="7"/>
      <c r="Y301" s="6"/>
      <c r="AB301" s="7"/>
      <c r="AE301" s="7"/>
      <c r="AH301" s="7"/>
      <c r="AK301" s="7"/>
    </row>
    <row r="302" spans="1:37">
      <c r="A302" s="1"/>
      <c r="B302" s="1"/>
      <c r="D302" s="7"/>
      <c r="G302" s="7"/>
      <c r="J302" s="7"/>
      <c r="M302" s="7"/>
      <c r="P302" s="7"/>
      <c r="S302" s="7"/>
      <c r="V302" s="7"/>
      <c r="Y302" s="6"/>
      <c r="AB302" s="7"/>
      <c r="AE302" s="7"/>
      <c r="AH302" s="7"/>
      <c r="AK302" s="7"/>
    </row>
    <row r="303" spans="1:37">
      <c r="A303" s="1"/>
      <c r="B303" s="1"/>
      <c r="D303" s="7"/>
      <c r="G303" s="7"/>
      <c r="J303" s="7"/>
      <c r="M303" s="7"/>
      <c r="P303" s="7"/>
      <c r="S303" s="7"/>
      <c r="V303" s="7"/>
      <c r="Y303" s="6"/>
      <c r="AB303" s="7"/>
      <c r="AE303" s="7"/>
      <c r="AH303" s="7"/>
      <c r="AK303" s="7"/>
    </row>
    <row r="304" spans="1:37">
      <c r="A304" s="1"/>
      <c r="B304" s="1"/>
      <c r="D304" s="7"/>
      <c r="G304" s="7"/>
      <c r="J304" s="7"/>
      <c r="M304" s="7"/>
      <c r="P304" s="7"/>
      <c r="S304" s="7"/>
      <c r="V304" s="7"/>
      <c r="Y304" s="6"/>
      <c r="AB304" s="7"/>
      <c r="AE304" s="7"/>
      <c r="AH304" s="7"/>
      <c r="AK304" s="7"/>
    </row>
    <row r="305" spans="1:37">
      <c r="A305" s="1"/>
      <c r="B305" s="1"/>
      <c r="D305" s="7"/>
      <c r="G305" s="7"/>
      <c r="J305" s="7"/>
      <c r="M305" s="7"/>
      <c r="P305" s="7"/>
      <c r="S305" s="7"/>
      <c r="V305" s="7"/>
      <c r="Y305" s="6"/>
      <c r="AB305" s="7"/>
      <c r="AE305" s="7"/>
      <c r="AH305" s="7"/>
      <c r="AK305" s="7"/>
    </row>
    <row r="306" spans="1:37">
      <c r="A306" s="1"/>
      <c r="B306" s="1"/>
      <c r="D306" s="7"/>
      <c r="G306" s="7"/>
      <c r="J306" s="7"/>
      <c r="M306" s="7"/>
      <c r="P306" s="7"/>
      <c r="S306" s="7"/>
      <c r="V306" s="7"/>
      <c r="Y306" s="6"/>
      <c r="AB306" s="7"/>
      <c r="AE306" s="7"/>
      <c r="AH306" s="7"/>
      <c r="AK306" s="7"/>
    </row>
    <row r="307" spans="1:37">
      <c r="A307" s="1"/>
      <c r="B307" s="1"/>
      <c r="D307" s="7"/>
      <c r="G307" s="7"/>
      <c r="J307" s="7"/>
      <c r="M307" s="7"/>
      <c r="P307" s="7"/>
      <c r="S307" s="7"/>
      <c r="V307" s="7"/>
      <c r="Y307" s="6"/>
      <c r="AB307" s="7"/>
      <c r="AE307" s="7"/>
      <c r="AH307" s="7"/>
      <c r="AK307" s="7"/>
    </row>
    <row r="308" spans="1:37">
      <c r="A308" s="1"/>
      <c r="B308" s="1"/>
      <c r="D308" s="7"/>
      <c r="G308" s="7"/>
      <c r="J308" s="7"/>
      <c r="M308" s="7"/>
      <c r="P308" s="7"/>
      <c r="S308" s="7"/>
      <c r="V308" s="7"/>
      <c r="Y308" s="6"/>
      <c r="AB308" s="7"/>
      <c r="AE308" s="7"/>
      <c r="AH308" s="7"/>
      <c r="AK308" s="7"/>
    </row>
    <row r="309" spans="1:37">
      <c r="A309" s="1"/>
      <c r="B309" s="1"/>
      <c r="D309" s="7"/>
      <c r="G309" s="7"/>
      <c r="J309" s="7"/>
      <c r="M309" s="7"/>
      <c r="P309" s="7"/>
      <c r="S309" s="7"/>
      <c r="V309" s="7"/>
      <c r="Y309" s="6"/>
      <c r="AB309" s="7"/>
      <c r="AE309" s="7"/>
      <c r="AH309" s="7"/>
      <c r="AK309" s="7"/>
    </row>
    <row r="310" spans="1:37">
      <c r="A310" s="1"/>
      <c r="B310" s="1"/>
      <c r="D310" s="7"/>
      <c r="G310" s="7"/>
      <c r="J310" s="7"/>
      <c r="M310" s="7"/>
      <c r="P310" s="7"/>
      <c r="S310" s="7"/>
      <c r="V310" s="7"/>
      <c r="Y310" s="6"/>
      <c r="AB310" s="7"/>
      <c r="AE310" s="7"/>
      <c r="AH310" s="7"/>
      <c r="AK310" s="7"/>
    </row>
    <row r="311" spans="1:37">
      <c r="A311" s="1"/>
      <c r="B311" s="1"/>
      <c r="D311" s="7"/>
      <c r="G311" s="7"/>
      <c r="J311" s="7"/>
      <c r="M311" s="7"/>
      <c r="P311" s="7"/>
      <c r="S311" s="7"/>
      <c r="V311" s="7"/>
      <c r="Y311" s="6"/>
      <c r="AB311" s="7"/>
      <c r="AE311" s="7"/>
      <c r="AH311" s="7"/>
      <c r="AK311" s="7"/>
    </row>
    <row r="312" spans="1:37">
      <c r="A312" s="1"/>
      <c r="B312" s="1"/>
      <c r="D312" s="7"/>
      <c r="G312" s="7"/>
      <c r="J312" s="7"/>
      <c r="M312" s="7"/>
      <c r="P312" s="7"/>
      <c r="S312" s="7"/>
      <c r="V312" s="7"/>
      <c r="Y312" s="6"/>
      <c r="AB312" s="7"/>
      <c r="AE312" s="7"/>
      <c r="AH312" s="7"/>
      <c r="AK312" s="7"/>
    </row>
    <row r="313" spans="1:37">
      <c r="A313" s="1"/>
      <c r="B313" s="1"/>
      <c r="D313" s="7"/>
      <c r="G313" s="7"/>
      <c r="J313" s="7"/>
      <c r="M313" s="7"/>
      <c r="P313" s="7"/>
      <c r="S313" s="7"/>
      <c r="V313" s="7"/>
      <c r="Y313" s="6"/>
      <c r="AB313" s="7"/>
      <c r="AE313" s="7"/>
      <c r="AH313" s="7"/>
      <c r="AK313" s="7"/>
    </row>
    <row r="314" spans="1:37">
      <c r="A314" s="1"/>
      <c r="B314" s="1"/>
      <c r="D314" s="7"/>
      <c r="G314" s="7"/>
      <c r="J314" s="7"/>
      <c r="M314" s="7"/>
      <c r="P314" s="7"/>
      <c r="S314" s="7"/>
      <c r="V314" s="7"/>
      <c r="Y314" s="6"/>
      <c r="AB314" s="7"/>
      <c r="AE314" s="7"/>
      <c r="AH314" s="7"/>
      <c r="AK314" s="7"/>
    </row>
    <row r="315" spans="1:37">
      <c r="A315" s="1"/>
      <c r="B315" s="1"/>
      <c r="D315" s="7"/>
      <c r="G315" s="7"/>
      <c r="J315" s="7"/>
      <c r="M315" s="7"/>
      <c r="P315" s="7"/>
      <c r="S315" s="7"/>
      <c r="V315" s="7"/>
      <c r="Y315" s="6"/>
      <c r="AB315" s="7"/>
      <c r="AE315" s="7"/>
      <c r="AH315" s="7"/>
      <c r="AK315" s="7"/>
    </row>
    <row r="316" spans="1:37">
      <c r="A316" s="1"/>
      <c r="B316" s="1"/>
      <c r="D316" s="7"/>
      <c r="G316" s="7"/>
      <c r="J316" s="7"/>
      <c r="M316" s="7"/>
      <c r="P316" s="7"/>
      <c r="S316" s="7"/>
      <c r="V316" s="7"/>
      <c r="Y316" s="6"/>
      <c r="AB316" s="7"/>
      <c r="AE316" s="7"/>
      <c r="AH316" s="7"/>
      <c r="AK316" s="7"/>
    </row>
    <row r="317" spans="1:37">
      <c r="A317" s="1"/>
      <c r="B317" s="1"/>
      <c r="D317" s="7"/>
      <c r="G317" s="7"/>
      <c r="J317" s="7"/>
      <c r="M317" s="7"/>
      <c r="P317" s="7"/>
      <c r="S317" s="7"/>
      <c r="V317" s="7"/>
      <c r="Y317" s="6"/>
      <c r="AB317" s="7"/>
      <c r="AE317" s="7"/>
      <c r="AH317" s="7"/>
      <c r="AK317" s="7"/>
    </row>
    <row r="318" spans="1:37">
      <c r="A318" s="1"/>
      <c r="B318" s="1"/>
      <c r="D318" s="7"/>
      <c r="G318" s="7"/>
      <c r="J318" s="7"/>
      <c r="M318" s="7"/>
      <c r="P318" s="7"/>
      <c r="S318" s="7"/>
      <c r="V318" s="7"/>
      <c r="Y318" s="6"/>
      <c r="AB318" s="7"/>
      <c r="AE318" s="7"/>
      <c r="AH318" s="7"/>
      <c r="AK318" s="7"/>
    </row>
    <row r="319" spans="1:37">
      <c r="A319" s="1"/>
      <c r="B319" s="1"/>
      <c r="D319" s="7"/>
      <c r="G319" s="7"/>
      <c r="J319" s="7"/>
      <c r="M319" s="7"/>
      <c r="P319" s="7"/>
      <c r="S319" s="7"/>
      <c r="V319" s="7"/>
      <c r="Y319" s="6"/>
      <c r="AB319" s="7"/>
      <c r="AE319" s="7"/>
      <c r="AH319" s="7"/>
      <c r="AK319" s="7"/>
    </row>
    <row r="320" spans="1:37">
      <c r="A320" s="1"/>
      <c r="B320" s="1"/>
      <c r="D320" s="7"/>
      <c r="G320" s="7"/>
      <c r="J320" s="7"/>
      <c r="M320" s="7"/>
      <c r="P320" s="7"/>
      <c r="S320" s="7"/>
      <c r="V320" s="7"/>
      <c r="Y320" s="6"/>
      <c r="AB320" s="7"/>
      <c r="AE320" s="7"/>
      <c r="AH320" s="7"/>
      <c r="AK320" s="7"/>
    </row>
    <row r="321" spans="1:37">
      <c r="A321" s="1"/>
      <c r="B321" s="1"/>
      <c r="D321" s="7"/>
      <c r="G321" s="7"/>
      <c r="J321" s="7"/>
      <c r="M321" s="7"/>
      <c r="P321" s="7"/>
      <c r="S321" s="7"/>
      <c r="V321" s="7"/>
      <c r="Y321" s="6"/>
      <c r="AB321" s="7"/>
      <c r="AE321" s="7"/>
      <c r="AH321" s="7"/>
      <c r="AK321" s="7"/>
    </row>
    <row r="322" spans="1:37">
      <c r="A322" s="1"/>
      <c r="B322" s="1"/>
      <c r="D322" s="7"/>
      <c r="G322" s="7"/>
      <c r="J322" s="7"/>
      <c r="M322" s="7"/>
      <c r="P322" s="7"/>
      <c r="S322" s="7"/>
      <c r="V322" s="7"/>
      <c r="Y322" s="6"/>
      <c r="AB322" s="7"/>
      <c r="AE322" s="7"/>
      <c r="AH322" s="7"/>
      <c r="AK322" s="7"/>
    </row>
    <row r="323" spans="1:37">
      <c r="A323" s="1"/>
      <c r="B323" s="1"/>
      <c r="D323" s="7"/>
      <c r="G323" s="7"/>
      <c r="J323" s="7"/>
      <c r="M323" s="7"/>
      <c r="P323" s="7"/>
      <c r="S323" s="7"/>
      <c r="V323" s="7"/>
      <c r="Y323" s="6"/>
      <c r="AB323" s="7"/>
      <c r="AE323" s="7"/>
      <c r="AH323" s="7"/>
      <c r="AK323" s="7"/>
    </row>
    <row r="324" spans="1:37">
      <c r="A324" s="1"/>
      <c r="B324" s="1"/>
      <c r="D324" s="7"/>
      <c r="G324" s="7"/>
      <c r="J324" s="7"/>
      <c r="M324" s="7"/>
      <c r="P324" s="7"/>
      <c r="S324" s="7"/>
      <c r="V324" s="7"/>
      <c r="Y324" s="6"/>
      <c r="AB324" s="7"/>
      <c r="AE324" s="7"/>
      <c r="AH324" s="7"/>
      <c r="AK324" s="7"/>
    </row>
    <row r="325" spans="1:37">
      <c r="A325" s="1"/>
      <c r="B325" s="1"/>
      <c r="D325" s="7"/>
      <c r="G325" s="7"/>
      <c r="J325" s="7"/>
      <c r="M325" s="7"/>
      <c r="P325" s="7"/>
      <c r="S325" s="7"/>
      <c r="V325" s="7"/>
      <c r="Y325" s="6"/>
      <c r="AB325" s="7"/>
      <c r="AE325" s="7"/>
      <c r="AH325" s="7"/>
      <c r="AK325" s="7"/>
    </row>
    <row r="326" spans="1:37">
      <c r="A326" s="1"/>
      <c r="B326" s="1"/>
      <c r="D326" s="7"/>
      <c r="G326" s="7"/>
      <c r="J326" s="7"/>
      <c r="M326" s="7"/>
      <c r="P326" s="7"/>
      <c r="S326" s="7"/>
      <c r="V326" s="7"/>
      <c r="Y326" s="6"/>
      <c r="AB326" s="7"/>
      <c r="AE326" s="7"/>
      <c r="AH326" s="7"/>
      <c r="AK326" s="7"/>
    </row>
    <row r="327" spans="1:37">
      <c r="A327" s="1"/>
      <c r="B327" s="1"/>
      <c r="D327" s="7"/>
      <c r="G327" s="7"/>
      <c r="J327" s="7"/>
      <c r="M327" s="7"/>
      <c r="P327" s="7"/>
      <c r="S327" s="7"/>
      <c r="V327" s="7"/>
      <c r="Y327" s="6"/>
      <c r="AB327" s="7"/>
      <c r="AE327" s="7"/>
      <c r="AH327" s="7"/>
      <c r="AK327" s="7"/>
    </row>
    <row r="328" spans="1:37">
      <c r="A328" s="1"/>
      <c r="B328" s="1"/>
      <c r="D328" s="7"/>
      <c r="G328" s="7"/>
      <c r="J328" s="7"/>
      <c r="M328" s="7"/>
      <c r="P328" s="7"/>
      <c r="S328" s="7"/>
      <c r="V328" s="7"/>
      <c r="Y328" s="6"/>
      <c r="AB328" s="7"/>
      <c r="AE328" s="7"/>
      <c r="AH328" s="7"/>
      <c r="AK328" s="7"/>
    </row>
    <row r="329" spans="1:37">
      <c r="A329" s="1"/>
      <c r="B329" s="1"/>
      <c r="D329" s="7"/>
      <c r="G329" s="7"/>
      <c r="J329" s="7"/>
      <c r="M329" s="7"/>
      <c r="P329" s="7"/>
      <c r="S329" s="7"/>
      <c r="V329" s="7"/>
      <c r="Y329" s="6"/>
      <c r="AB329" s="7"/>
      <c r="AE329" s="7"/>
      <c r="AH329" s="7"/>
      <c r="AK329" s="7"/>
    </row>
    <row r="330" spans="1:37">
      <c r="A330" s="1"/>
      <c r="B330" s="1"/>
      <c r="D330" s="7"/>
      <c r="G330" s="7"/>
      <c r="J330" s="7"/>
      <c r="M330" s="7"/>
      <c r="P330" s="7"/>
      <c r="S330" s="7"/>
      <c r="V330" s="7"/>
      <c r="Y330" s="6"/>
      <c r="AB330" s="7"/>
      <c r="AE330" s="7"/>
      <c r="AH330" s="7"/>
      <c r="AK330" s="7"/>
    </row>
    <row r="331" spans="1:37">
      <c r="A331" s="1"/>
      <c r="B331" s="1"/>
      <c r="D331" s="7"/>
      <c r="G331" s="7"/>
      <c r="J331" s="7"/>
      <c r="M331" s="7"/>
      <c r="P331" s="7"/>
      <c r="S331" s="7"/>
      <c r="V331" s="7"/>
      <c r="Y331" s="6"/>
      <c r="AB331" s="7"/>
      <c r="AE331" s="7"/>
      <c r="AH331" s="7"/>
      <c r="AK331" s="7"/>
    </row>
    <row r="332" spans="1:37">
      <c r="A332" s="1"/>
      <c r="B332" s="1"/>
      <c r="D332" s="7"/>
      <c r="G332" s="7"/>
      <c r="J332" s="7"/>
      <c r="M332" s="7"/>
      <c r="P332" s="7"/>
      <c r="S332" s="7"/>
      <c r="V332" s="7"/>
      <c r="Y332" s="6"/>
      <c r="AB332" s="7"/>
      <c r="AE332" s="7"/>
      <c r="AH332" s="7"/>
      <c r="AK332" s="7"/>
    </row>
    <row r="333" spans="1:37">
      <c r="A333" s="1"/>
      <c r="B333" s="1"/>
      <c r="D333" s="7"/>
      <c r="G333" s="7"/>
      <c r="J333" s="7"/>
      <c r="M333" s="7"/>
      <c r="P333" s="7"/>
      <c r="S333" s="7"/>
      <c r="V333" s="7"/>
      <c r="Y333" s="6"/>
      <c r="AB333" s="7"/>
      <c r="AE333" s="7"/>
      <c r="AH333" s="7"/>
      <c r="AK333" s="7"/>
    </row>
    <row r="334" spans="1:37">
      <c r="A334" s="1"/>
      <c r="B334" s="1"/>
      <c r="D334" s="7"/>
      <c r="G334" s="7"/>
      <c r="J334" s="7"/>
      <c r="M334" s="7"/>
      <c r="P334" s="7"/>
      <c r="S334" s="7"/>
      <c r="V334" s="7"/>
      <c r="Y334" s="6"/>
      <c r="AB334" s="7"/>
      <c r="AE334" s="7"/>
      <c r="AH334" s="7"/>
      <c r="AK334" s="7"/>
    </row>
    <row r="335" spans="1:37">
      <c r="A335" s="1"/>
      <c r="B335" s="1"/>
      <c r="D335" s="7"/>
      <c r="G335" s="7"/>
      <c r="J335" s="7"/>
      <c r="M335" s="7"/>
      <c r="P335" s="7"/>
      <c r="S335" s="7"/>
      <c r="V335" s="7"/>
      <c r="Y335" s="6"/>
      <c r="AB335" s="7"/>
      <c r="AE335" s="7"/>
      <c r="AH335" s="7"/>
      <c r="AK335" s="7"/>
    </row>
    <row r="336" spans="1:37">
      <c r="A336" s="1"/>
      <c r="B336" s="1"/>
      <c r="D336" s="7"/>
      <c r="G336" s="7"/>
      <c r="J336" s="7"/>
      <c r="M336" s="7"/>
      <c r="P336" s="7"/>
      <c r="S336" s="7"/>
      <c r="V336" s="7"/>
      <c r="Y336" s="6"/>
      <c r="AB336" s="7"/>
      <c r="AE336" s="7"/>
      <c r="AH336" s="7"/>
      <c r="AK336" s="7"/>
    </row>
    <row r="337" spans="1:37">
      <c r="A337" s="1"/>
      <c r="B337" s="1"/>
      <c r="D337" s="7"/>
      <c r="G337" s="7"/>
      <c r="J337" s="7"/>
      <c r="M337" s="7"/>
      <c r="P337" s="7"/>
      <c r="S337" s="7"/>
      <c r="V337" s="7"/>
      <c r="Y337" s="6"/>
      <c r="AB337" s="7"/>
      <c r="AE337" s="7"/>
      <c r="AH337" s="7"/>
      <c r="AK337" s="7"/>
    </row>
    <row r="338" spans="1:37">
      <c r="A338" s="1"/>
      <c r="B338" s="1"/>
      <c r="D338" s="7"/>
      <c r="G338" s="7"/>
      <c r="J338" s="7"/>
      <c r="M338" s="7"/>
      <c r="P338" s="7"/>
      <c r="S338" s="7"/>
      <c r="V338" s="7"/>
      <c r="Y338" s="6"/>
      <c r="AB338" s="7"/>
      <c r="AE338" s="7"/>
      <c r="AH338" s="7"/>
      <c r="AK338" s="7"/>
    </row>
    <row r="339" spans="1:37">
      <c r="A339" s="1"/>
      <c r="B339" s="1"/>
      <c r="D339" s="7"/>
      <c r="G339" s="7"/>
      <c r="J339" s="7"/>
      <c r="M339" s="7"/>
      <c r="P339" s="7"/>
      <c r="S339" s="7"/>
      <c r="V339" s="7"/>
      <c r="Y339" s="6"/>
      <c r="AB339" s="7"/>
      <c r="AE339" s="7"/>
      <c r="AH339" s="7"/>
      <c r="AK339" s="7"/>
    </row>
    <row r="340" spans="1:37">
      <c r="A340" s="1"/>
      <c r="B340" s="1"/>
      <c r="D340" s="7"/>
      <c r="G340" s="7"/>
      <c r="J340" s="7"/>
      <c r="M340" s="7"/>
      <c r="P340" s="7"/>
      <c r="S340" s="7"/>
      <c r="V340" s="7"/>
      <c r="Y340" s="6"/>
      <c r="AB340" s="7"/>
      <c r="AE340" s="7"/>
      <c r="AH340" s="7"/>
      <c r="AK340" s="7"/>
    </row>
    <row r="341" spans="1:37">
      <c r="A341" s="1"/>
      <c r="B341" s="1"/>
      <c r="D341" s="7"/>
      <c r="G341" s="7"/>
      <c r="J341" s="7"/>
      <c r="M341" s="7"/>
      <c r="P341" s="7"/>
      <c r="S341" s="7"/>
      <c r="V341" s="7"/>
      <c r="Y341" s="6"/>
      <c r="AB341" s="7"/>
      <c r="AE341" s="7"/>
      <c r="AH341" s="7"/>
      <c r="AK341" s="7"/>
    </row>
    <row r="342" spans="1:37">
      <c r="A342" s="1"/>
      <c r="B342" s="1"/>
      <c r="D342" s="7"/>
      <c r="G342" s="7"/>
      <c r="J342" s="7"/>
      <c r="M342" s="7"/>
      <c r="P342" s="7"/>
      <c r="S342" s="7"/>
      <c r="V342" s="7"/>
      <c r="Y342" s="6"/>
      <c r="AB342" s="7"/>
      <c r="AE342" s="7"/>
      <c r="AH342" s="7"/>
      <c r="AK342" s="7"/>
    </row>
    <row r="343" spans="1:37">
      <c r="A343" s="1"/>
      <c r="B343" s="1"/>
      <c r="D343" s="7"/>
      <c r="G343" s="7"/>
      <c r="J343" s="7"/>
      <c r="M343" s="7"/>
      <c r="P343" s="7"/>
      <c r="S343" s="7"/>
      <c r="V343" s="7"/>
      <c r="Y343" s="6"/>
      <c r="AB343" s="7"/>
      <c r="AE343" s="7"/>
      <c r="AH343" s="7"/>
      <c r="AK343" s="7"/>
    </row>
    <row r="344" spans="1:37">
      <c r="A344" s="1"/>
      <c r="B344" s="1"/>
      <c r="D344" s="7"/>
      <c r="G344" s="7"/>
      <c r="J344" s="7"/>
      <c r="M344" s="7"/>
      <c r="P344" s="7"/>
      <c r="S344" s="7"/>
      <c r="V344" s="7"/>
      <c r="Y344" s="6"/>
      <c r="AB344" s="7"/>
      <c r="AE344" s="7"/>
      <c r="AH344" s="7"/>
      <c r="AK344" s="7"/>
    </row>
    <row r="345" spans="1:37">
      <c r="A345" s="1"/>
      <c r="B345" s="1"/>
      <c r="D345" s="7"/>
      <c r="G345" s="7"/>
      <c r="J345" s="7"/>
      <c r="M345" s="7"/>
      <c r="P345" s="7"/>
      <c r="S345" s="7"/>
      <c r="V345" s="7"/>
      <c r="Y345" s="6"/>
      <c r="AB345" s="7"/>
      <c r="AE345" s="7"/>
      <c r="AH345" s="7"/>
      <c r="AK345" s="7"/>
    </row>
    <row r="346" spans="1:37">
      <c r="A346" s="1"/>
      <c r="B346" s="1"/>
      <c r="D346" s="7"/>
      <c r="G346" s="7"/>
      <c r="J346" s="7"/>
      <c r="M346" s="7"/>
      <c r="P346" s="7"/>
      <c r="S346" s="7"/>
      <c r="V346" s="7"/>
      <c r="Y346" s="6"/>
      <c r="AB346" s="7"/>
      <c r="AE346" s="7"/>
      <c r="AH346" s="7"/>
      <c r="AK346" s="7"/>
    </row>
    <row r="347" spans="1:37">
      <c r="A347" s="1"/>
      <c r="B347" s="1"/>
      <c r="D347" s="7"/>
      <c r="G347" s="7"/>
      <c r="J347" s="7"/>
      <c r="M347" s="7"/>
      <c r="P347" s="7"/>
      <c r="S347" s="7"/>
      <c r="V347" s="7"/>
      <c r="Y347" s="6"/>
      <c r="AB347" s="7"/>
      <c r="AE347" s="7"/>
      <c r="AH347" s="7"/>
      <c r="AK347" s="7"/>
    </row>
    <row r="348" spans="1:37">
      <c r="A348" s="1"/>
      <c r="B348" s="1"/>
      <c r="D348" s="7"/>
      <c r="G348" s="7"/>
      <c r="J348" s="7"/>
      <c r="M348" s="7"/>
      <c r="P348" s="7"/>
      <c r="S348" s="7"/>
      <c r="V348" s="7"/>
      <c r="Y348" s="6"/>
      <c r="AB348" s="7"/>
      <c r="AE348" s="7"/>
      <c r="AH348" s="7"/>
      <c r="AK348" s="7"/>
    </row>
    <row r="349" spans="1:37">
      <c r="A349" s="1"/>
      <c r="B349" s="1"/>
      <c r="D349" s="7"/>
      <c r="G349" s="7"/>
      <c r="J349" s="7"/>
      <c r="M349" s="7"/>
      <c r="P349" s="7"/>
      <c r="S349" s="7"/>
      <c r="V349" s="7"/>
      <c r="Y349" s="6"/>
      <c r="AB349" s="7"/>
      <c r="AE349" s="7"/>
      <c r="AH349" s="7"/>
      <c r="AK349" s="7"/>
    </row>
    <row r="350" spans="1:37">
      <c r="A350" s="1"/>
      <c r="B350" s="1"/>
      <c r="D350" s="7"/>
      <c r="G350" s="7"/>
      <c r="J350" s="7"/>
      <c r="M350" s="7"/>
      <c r="P350" s="7"/>
      <c r="S350" s="7"/>
      <c r="V350" s="7"/>
      <c r="Y350" s="6"/>
      <c r="AB350" s="7"/>
      <c r="AE350" s="7"/>
      <c r="AH350" s="7"/>
      <c r="AK350" s="7"/>
    </row>
    <row r="351" spans="1:37">
      <c r="A351" s="1"/>
      <c r="B351" s="1"/>
      <c r="D351" s="7"/>
      <c r="G351" s="7"/>
      <c r="J351" s="7"/>
      <c r="M351" s="7"/>
      <c r="P351" s="7"/>
      <c r="S351" s="7"/>
      <c r="V351" s="7"/>
      <c r="Y351" s="6"/>
      <c r="AB351" s="7"/>
      <c r="AE351" s="7"/>
      <c r="AH351" s="7"/>
      <c r="AK351" s="7"/>
    </row>
    <row r="352" spans="1:37">
      <c r="A352" s="1"/>
      <c r="B352" s="1"/>
      <c r="D352" s="7"/>
      <c r="G352" s="7"/>
      <c r="J352" s="7"/>
      <c r="M352" s="7"/>
      <c r="P352" s="7"/>
      <c r="S352" s="7"/>
      <c r="V352" s="7"/>
      <c r="Y352" s="6"/>
      <c r="AB352" s="7"/>
      <c r="AE352" s="7"/>
      <c r="AH352" s="7"/>
      <c r="AK352" s="7"/>
    </row>
    <row r="353" spans="1:37">
      <c r="A353" s="1"/>
      <c r="B353" s="1"/>
      <c r="D353" s="7"/>
      <c r="G353" s="7"/>
      <c r="J353" s="7"/>
      <c r="M353" s="7"/>
      <c r="P353" s="7"/>
      <c r="S353" s="7"/>
      <c r="V353" s="7"/>
      <c r="Y353" s="6"/>
      <c r="AB353" s="7"/>
      <c r="AE353" s="7"/>
      <c r="AH353" s="7"/>
      <c r="AK353" s="7"/>
    </row>
    <row r="354" spans="1:37">
      <c r="A354" s="1"/>
      <c r="B354" s="1"/>
      <c r="D354" s="7"/>
      <c r="G354" s="7"/>
      <c r="J354" s="7"/>
      <c r="M354" s="7"/>
      <c r="P354" s="7"/>
      <c r="S354" s="7"/>
      <c r="V354" s="7"/>
      <c r="Y354" s="6"/>
      <c r="AB354" s="7"/>
      <c r="AE354" s="7"/>
      <c r="AH354" s="7"/>
      <c r="AK354" s="7"/>
    </row>
    <row r="355" spans="1:37">
      <c r="A355" s="1"/>
      <c r="B355" s="1"/>
      <c r="D355" s="7"/>
      <c r="G355" s="7"/>
      <c r="J355" s="7"/>
      <c r="M355" s="7"/>
      <c r="P355" s="7"/>
      <c r="S355" s="7"/>
      <c r="V355" s="7"/>
      <c r="Y355" s="6"/>
      <c r="AB355" s="7"/>
      <c r="AE355" s="7"/>
      <c r="AH355" s="7"/>
      <c r="AK355" s="7"/>
    </row>
    <row r="356" spans="1:37">
      <c r="A356" s="1"/>
      <c r="B356" s="1"/>
      <c r="D356" s="7"/>
      <c r="G356" s="7"/>
      <c r="J356" s="7"/>
      <c r="M356" s="7"/>
      <c r="P356" s="7"/>
      <c r="S356" s="7"/>
      <c r="V356" s="7"/>
      <c r="Y356" s="6"/>
      <c r="AB356" s="7"/>
      <c r="AE356" s="7"/>
      <c r="AH356" s="7"/>
      <c r="AK356" s="7"/>
    </row>
    <row r="357" spans="1:37">
      <c r="A357" s="1"/>
      <c r="B357" s="1"/>
      <c r="D357" s="7"/>
      <c r="G357" s="7"/>
      <c r="J357" s="7"/>
      <c r="M357" s="7"/>
      <c r="P357" s="7"/>
      <c r="S357" s="7"/>
      <c r="V357" s="7"/>
      <c r="Y357" s="6"/>
      <c r="AB357" s="7"/>
      <c r="AE357" s="7"/>
      <c r="AH357" s="7"/>
      <c r="AK357" s="7"/>
    </row>
    <row r="358" spans="1:37">
      <c r="A358" s="1"/>
      <c r="B358" s="1"/>
      <c r="D358" s="7"/>
      <c r="G358" s="7"/>
      <c r="J358" s="7"/>
      <c r="M358" s="7"/>
      <c r="P358" s="7"/>
      <c r="S358" s="7"/>
      <c r="V358" s="7"/>
      <c r="Y358" s="6"/>
      <c r="AB358" s="7"/>
      <c r="AE358" s="7"/>
      <c r="AH358" s="7"/>
      <c r="AK358" s="7"/>
    </row>
    <row r="359" spans="1:37">
      <c r="A359" s="1"/>
      <c r="B359" s="1"/>
      <c r="D359" s="7"/>
      <c r="G359" s="7"/>
      <c r="J359" s="7"/>
      <c r="M359" s="7"/>
      <c r="P359" s="7"/>
      <c r="S359" s="7"/>
      <c r="V359" s="7"/>
      <c r="Y359" s="6"/>
      <c r="AB359" s="7"/>
      <c r="AE359" s="7"/>
      <c r="AH359" s="7"/>
      <c r="AK359" s="7"/>
    </row>
    <row r="360" spans="1:37">
      <c r="A360" s="1"/>
      <c r="B360" s="1"/>
      <c r="D360" s="7"/>
      <c r="G360" s="7"/>
      <c r="J360" s="7"/>
      <c r="M360" s="7"/>
      <c r="P360" s="7"/>
      <c r="S360" s="7"/>
      <c r="V360" s="7"/>
      <c r="Y360" s="6"/>
      <c r="AB360" s="7"/>
      <c r="AE360" s="7"/>
      <c r="AH360" s="7"/>
      <c r="AK360" s="7"/>
    </row>
    <row r="361" spans="1:37">
      <c r="A361" s="1"/>
      <c r="B361" s="1"/>
      <c r="D361" s="7"/>
      <c r="G361" s="7"/>
      <c r="J361" s="7"/>
      <c r="M361" s="7"/>
      <c r="P361" s="7"/>
      <c r="S361" s="7"/>
      <c r="V361" s="7"/>
      <c r="Y361" s="6"/>
      <c r="AB361" s="7"/>
      <c r="AE361" s="7"/>
      <c r="AH361" s="7"/>
      <c r="AK361" s="7"/>
    </row>
    <row r="362" spans="1:37">
      <c r="A362" s="1"/>
      <c r="B362" s="1"/>
      <c r="D362" s="7"/>
      <c r="G362" s="7"/>
      <c r="J362" s="7"/>
      <c r="M362" s="7"/>
      <c r="P362" s="7"/>
      <c r="S362" s="7"/>
      <c r="V362" s="7"/>
      <c r="Y362" s="6"/>
      <c r="AB362" s="7"/>
      <c r="AE362" s="7"/>
      <c r="AH362" s="7"/>
      <c r="AK362" s="7"/>
    </row>
    <row r="363" spans="1:37">
      <c r="A363" s="1"/>
      <c r="B363" s="1"/>
      <c r="D363" s="7"/>
      <c r="G363" s="7"/>
      <c r="J363" s="7"/>
      <c r="M363" s="7"/>
      <c r="P363" s="7"/>
      <c r="S363" s="7"/>
      <c r="V363" s="7"/>
      <c r="Y363" s="6"/>
      <c r="AB363" s="7"/>
      <c r="AE363" s="7"/>
      <c r="AH363" s="7"/>
      <c r="AK363" s="7"/>
    </row>
    <row r="364" spans="1:37">
      <c r="A364" s="1"/>
      <c r="B364" s="1"/>
      <c r="D364" s="7"/>
      <c r="G364" s="7"/>
      <c r="J364" s="7"/>
      <c r="M364" s="7"/>
      <c r="P364" s="7"/>
      <c r="S364" s="7"/>
      <c r="V364" s="7"/>
      <c r="Y364" s="6"/>
      <c r="AB364" s="7"/>
      <c r="AE364" s="7"/>
      <c r="AH364" s="7"/>
      <c r="AK364" s="7"/>
    </row>
    <row r="365" spans="1:37">
      <c r="A365" s="1"/>
      <c r="B365" s="1"/>
      <c r="D365" s="7"/>
      <c r="G365" s="7"/>
      <c r="J365" s="7"/>
      <c r="M365" s="7"/>
      <c r="P365" s="7"/>
      <c r="S365" s="7"/>
      <c r="V365" s="7"/>
      <c r="Y365" s="6"/>
      <c r="AB365" s="7"/>
      <c r="AE365" s="7"/>
      <c r="AH365" s="7"/>
      <c r="AK365" s="7"/>
    </row>
    <row r="366" spans="1:37">
      <c r="A366" s="1"/>
      <c r="B366" s="1"/>
      <c r="D366" s="7"/>
      <c r="G366" s="7"/>
      <c r="J366" s="7"/>
      <c r="M366" s="7"/>
      <c r="P366" s="7"/>
      <c r="S366" s="7"/>
      <c r="V366" s="7"/>
      <c r="Y366" s="6"/>
      <c r="AB366" s="7"/>
      <c r="AE366" s="7"/>
      <c r="AH366" s="7"/>
      <c r="AK366" s="7"/>
    </row>
    <row r="367" spans="1:37">
      <c r="A367" s="1"/>
      <c r="B367" s="1"/>
      <c r="D367" s="7"/>
      <c r="G367" s="7"/>
      <c r="J367" s="7"/>
      <c r="M367" s="7"/>
      <c r="P367" s="7"/>
      <c r="S367" s="7"/>
      <c r="V367" s="7"/>
      <c r="Y367" s="6"/>
      <c r="AB367" s="7"/>
      <c r="AE367" s="7"/>
      <c r="AH367" s="7"/>
      <c r="AK367" s="7"/>
    </row>
    <row r="368" spans="1:37">
      <c r="A368" s="1"/>
      <c r="B368" s="1"/>
      <c r="D368" s="7"/>
      <c r="G368" s="7"/>
      <c r="J368" s="7"/>
      <c r="M368" s="7"/>
      <c r="P368" s="7"/>
      <c r="S368" s="7"/>
      <c r="V368" s="7"/>
      <c r="Y368" s="6"/>
      <c r="AB368" s="7"/>
      <c r="AE368" s="7"/>
      <c r="AH368" s="7"/>
      <c r="AK368" s="7"/>
    </row>
    <row r="369" spans="1:37">
      <c r="A369" s="1"/>
      <c r="B369" s="1"/>
      <c r="D369" s="7"/>
      <c r="G369" s="7"/>
      <c r="J369" s="7"/>
      <c r="M369" s="7"/>
      <c r="P369" s="7"/>
      <c r="S369" s="7"/>
      <c r="V369" s="7"/>
      <c r="Y369" s="6"/>
      <c r="AB369" s="7"/>
      <c r="AE369" s="7"/>
      <c r="AH369" s="7"/>
      <c r="AK369" s="7"/>
    </row>
    <row r="370" spans="1:37">
      <c r="A370" s="1"/>
      <c r="B370" s="1"/>
      <c r="D370" s="7"/>
      <c r="G370" s="7"/>
      <c r="J370" s="7"/>
      <c r="M370" s="7"/>
      <c r="P370" s="7"/>
      <c r="S370" s="7"/>
      <c r="V370" s="7"/>
      <c r="Y370" s="6"/>
      <c r="AB370" s="7"/>
      <c r="AE370" s="7"/>
      <c r="AH370" s="7"/>
      <c r="AK370" s="7"/>
    </row>
    <row r="371" spans="1:37">
      <c r="A371" s="1"/>
      <c r="B371" s="1"/>
      <c r="D371" s="7"/>
      <c r="G371" s="7"/>
      <c r="J371" s="7"/>
      <c r="M371" s="7"/>
      <c r="P371" s="7"/>
      <c r="S371" s="7"/>
      <c r="V371" s="7"/>
      <c r="Y371" s="6"/>
      <c r="AB371" s="7"/>
      <c r="AE371" s="7"/>
      <c r="AH371" s="7"/>
      <c r="AK371" s="7"/>
    </row>
    <row r="372" spans="1:37">
      <c r="A372" s="1"/>
      <c r="B372" s="1"/>
      <c r="D372" s="7"/>
      <c r="G372" s="7"/>
      <c r="J372" s="7"/>
      <c r="M372" s="7"/>
      <c r="P372" s="7"/>
      <c r="S372" s="7"/>
      <c r="V372" s="7"/>
      <c r="Y372" s="6"/>
      <c r="AB372" s="7"/>
      <c r="AE372" s="7"/>
      <c r="AH372" s="7"/>
      <c r="AK372" s="7"/>
    </row>
    <row r="373" spans="1:37">
      <c r="A373" s="1"/>
      <c r="B373" s="1"/>
      <c r="D373" s="7"/>
      <c r="G373" s="7"/>
      <c r="J373" s="7"/>
      <c r="M373" s="7"/>
      <c r="P373" s="7"/>
      <c r="S373" s="7"/>
      <c r="V373" s="7"/>
      <c r="Y373" s="6"/>
      <c r="AB373" s="7"/>
      <c r="AE373" s="7"/>
      <c r="AH373" s="7"/>
      <c r="AK373" s="7"/>
    </row>
    <row r="374" spans="1:37">
      <c r="A374" s="1"/>
      <c r="B374" s="1"/>
      <c r="D374" s="7"/>
      <c r="G374" s="7"/>
      <c r="J374" s="7"/>
      <c r="M374" s="7"/>
      <c r="P374" s="7"/>
      <c r="S374" s="7"/>
      <c r="V374" s="7"/>
      <c r="Y374" s="6"/>
      <c r="AB374" s="7"/>
      <c r="AE374" s="7"/>
      <c r="AH374" s="7"/>
      <c r="AK374" s="7"/>
    </row>
    <row r="375" spans="1:37">
      <c r="A375" s="1"/>
      <c r="B375" s="1"/>
      <c r="D375" s="7"/>
      <c r="G375" s="7"/>
      <c r="J375" s="7"/>
      <c r="M375" s="7"/>
      <c r="P375" s="7"/>
      <c r="S375" s="7"/>
      <c r="V375" s="7"/>
      <c r="Y375" s="6"/>
      <c r="AB375" s="7"/>
      <c r="AE375" s="7"/>
      <c r="AH375" s="7"/>
      <c r="AK375" s="7"/>
    </row>
    <row r="376" spans="1:37">
      <c r="A376" s="1"/>
      <c r="B376" s="1"/>
      <c r="D376" s="7"/>
      <c r="G376" s="7"/>
      <c r="J376" s="7"/>
      <c r="M376" s="7"/>
      <c r="P376" s="7"/>
      <c r="S376" s="7"/>
      <c r="V376" s="7"/>
      <c r="Y376" s="6"/>
      <c r="AB376" s="7"/>
      <c r="AE376" s="7"/>
      <c r="AH376" s="7"/>
      <c r="AK376" s="7"/>
    </row>
    <row r="377" spans="1:37">
      <c r="A377" s="1"/>
      <c r="B377" s="1"/>
      <c r="D377" s="7"/>
      <c r="G377" s="7"/>
      <c r="J377" s="7"/>
      <c r="M377" s="7"/>
      <c r="P377" s="7"/>
      <c r="S377" s="7"/>
      <c r="V377" s="7"/>
      <c r="Y377" s="6"/>
      <c r="AB377" s="7"/>
      <c r="AE377" s="7"/>
      <c r="AH377" s="7"/>
      <c r="AK377" s="7"/>
    </row>
    <row r="378" spans="1:37">
      <c r="A378" s="1"/>
      <c r="B378" s="1"/>
      <c r="D378" s="7"/>
      <c r="G378" s="7"/>
      <c r="J378" s="7"/>
      <c r="M378" s="7"/>
      <c r="P378" s="7"/>
      <c r="S378" s="7"/>
      <c r="V378" s="7"/>
      <c r="Y378" s="6"/>
      <c r="AB378" s="7"/>
      <c r="AE378" s="7"/>
      <c r="AH378" s="7"/>
      <c r="AK378" s="7"/>
    </row>
    <row r="379" spans="1:37">
      <c r="A379" s="1"/>
      <c r="B379" s="1"/>
      <c r="D379" s="7"/>
      <c r="G379" s="7"/>
      <c r="J379" s="7"/>
      <c r="M379" s="7"/>
      <c r="P379" s="7"/>
      <c r="S379" s="7"/>
      <c r="V379" s="7"/>
      <c r="Y379" s="6"/>
      <c r="AB379" s="7"/>
      <c r="AE379" s="7"/>
      <c r="AH379" s="7"/>
      <c r="AK379" s="7"/>
    </row>
    <row r="380" spans="1:37">
      <c r="A380" s="1"/>
      <c r="B380" s="1"/>
      <c r="D380" s="7"/>
      <c r="G380" s="7"/>
      <c r="J380" s="7"/>
      <c r="M380" s="7"/>
      <c r="P380" s="7"/>
      <c r="S380" s="7"/>
      <c r="V380" s="7"/>
      <c r="Y380" s="6"/>
      <c r="AB380" s="7"/>
      <c r="AE380" s="7"/>
      <c r="AH380" s="7"/>
      <c r="AK380" s="7"/>
    </row>
    <row r="381" spans="1:37">
      <c r="A381" s="1"/>
      <c r="B381" s="1"/>
      <c r="D381" s="7"/>
      <c r="G381" s="7"/>
      <c r="J381" s="7"/>
      <c r="M381" s="7"/>
      <c r="P381" s="7"/>
      <c r="S381" s="7"/>
      <c r="V381" s="7"/>
      <c r="Y381" s="6"/>
      <c r="AB381" s="7"/>
      <c r="AE381" s="7"/>
      <c r="AH381" s="7"/>
      <c r="AK381" s="7"/>
    </row>
    <row r="382" spans="1:37">
      <c r="A382" s="1"/>
      <c r="B382" s="1"/>
      <c r="D382" s="7"/>
      <c r="G382" s="7"/>
      <c r="J382" s="7"/>
      <c r="M382" s="7"/>
      <c r="P382" s="7"/>
      <c r="S382" s="7"/>
      <c r="V382" s="7"/>
      <c r="Y382" s="6"/>
      <c r="AB382" s="7"/>
      <c r="AE382" s="7"/>
      <c r="AH382" s="7"/>
      <c r="AK382" s="7"/>
    </row>
    <row r="383" spans="1:37">
      <c r="A383" s="1"/>
      <c r="B383" s="1"/>
      <c r="D383" s="7"/>
      <c r="G383" s="7"/>
      <c r="J383" s="7"/>
      <c r="M383" s="7"/>
      <c r="P383" s="7"/>
      <c r="S383" s="7"/>
      <c r="V383" s="7"/>
      <c r="Y383" s="6"/>
      <c r="AB383" s="7"/>
      <c r="AE383" s="7"/>
      <c r="AH383" s="7"/>
      <c r="AK383" s="7"/>
    </row>
    <row r="384" spans="1:37">
      <c r="A384" s="1"/>
      <c r="B384" s="1"/>
      <c r="D384" s="7"/>
      <c r="G384" s="7"/>
      <c r="J384" s="7"/>
      <c r="M384" s="7"/>
      <c r="P384" s="7"/>
      <c r="S384" s="7"/>
      <c r="V384" s="7"/>
      <c r="Y384" s="6"/>
      <c r="AB384" s="7"/>
      <c r="AE384" s="7"/>
      <c r="AH384" s="7"/>
      <c r="AK384" s="7"/>
    </row>
    <row r="385" spans="1:37">
      <c r="A385" s="1"/>
      <c r="B385" s="1"/>
      <c r="D385" s="7"/>
      <c r="G385" s="7"/>
      <c r="J385" s="7"/>
      <c r="M385" s="7"/>
      <c r="P385" s="7"/>
      <c r="S385" s="7"/>
      <c r="V385" s="7"/>
      <c r="Y385" s="6"/>
      <c r="AB385" s="7"/>
      <c r="AE385" s="7"/>
      <c r="AH385" s="7"/>
      <c r="AK385" s="7"/>
    </row>
    <row r="386" spans="1:37">
      <c r="A386" s="1"/>
      <c r="B386" s="1"/>
      <c r="D386" s="7"/>
      <c r="G386" s="7"/>
      <c r="J386" s="7"/>
      <c r="M386" s="7"/>
      <c r="P386" s="7"/>
      <c r="S386" s="7"/>
      <c r="V386" s="7"/>
      <c r="Y386" s="6"/>
      <c r="AB386" s="7"/>
      <c r="AE386" s="7"/>
      <c r="AH386" s="7"/>
      <c r="AK386" s="7"/>
    </row>
    <row r="387" spans="1:37">
      <c r="A387" s="1"/>
      <c r="B387" s="1"/>
      <c r="D387" s="7"/>
      <c r="G387" s="7"/>
      <c r="J387" s="7"/>
      <c r="M387" s="7"/>
      <c r="P387" s="7"/>
      <c r="S387" s="7"/>
      <c r="V387" s="7"/>
      <c r="Y387" s="6"/>
      <c r="AB387" s="7"/>
      <c r="AE387" s="7"/>
      <c r="AH387" s="7"/>
      <c r="AK387" s="7"/>
    </row>
    <row r="388" spans="1:37">
      <c r="A388" s="1"/>
      <c r="B388" s="1"/>
      <c r="D388" s="7"/>
      <c r="G388" s="7"/>
      <c r="J388" s="7"/>
      <c r="M388" s="7"/>
      <c r="P388" s="7"/>
      <c r="S388" s="7"/>
      <c r="V388" s="7"/>
      <c r="Y388" s="6"/>
      <c r="AB388" s="7"/>
      <c r="AE388" s="7"/>
      <c r="AH388" s="7"/>
      <c r="AK388" s="7"/>
    </row>
    <row r="389" spans="1:37">
      <c r="A389" s="1"/>
      <c r="B389" s="1"/>
      <c r="D389" s="7"/>
      <c r="G389" s="7"/>
      <c r="J389" s="7"/>
      <c r="M389" s="7"/>
      <c r="P389" s="7"/>
      <c r="S389" s="7"/>
      <c r="V389" s="7"/>
      <c r="Y389" s="6"/>
      <c r="AB389" s="7"/>
      <c r="AE389" s="7"/>
      <c r="AH389" s="7"/>
      <c r="AK389" s="7"/>
    </row>
    <row r="390" spans="1:37">
      <c r="A390" s="1"/>
      <c r="B390" s="1"/>
      <c r="D390" s="7"/>
      <c r="G390" s="7"/>
      <c r="J390" s="7"/>
      <c r="M390" s="7"/>
      <c r="P390" s="7"/>
      <c r="S390" s="7"/>
      <c r="V390" s="7"/>
      <c r="Y390" s="6"/>
      <c r="AB390" s="7"/>
      <c r="AE390" s="7"/>
      <c r="AH390" s="7"/>
      <c r="AK390" s="7"/>
    </row>
    <row r="391" spans="1:37">
      <c r="A391" s="1"/>
      <c r="B391" s="1"/>
      <c r="D391" s="7"/>
      <c r="G391" s="7"/>
      <c r="J391" s="7"/>
      <c r="M391" s="7"/>
      <c r="P391" s="7"/>
      <c r="S391" s="7"/>
      <c r="V391" s="7"/>
      <c r="Y391" s="6"/>
      <c r="AB391" s="7"/>
      <c r="AE391" s="7"/>
      <c r="AH391" s="7"/>
      <c r="AK391" s="7"/>
    </row>
    <row r="392" spans="1:37">
      <c r="A392" s="1"/>
      <c r="B392" s="1"/>
      <c r="D392" s="7"/>
      <c r="G392" s="7"/>
      <c r="J392" s="7"/>
      <c r="M392" s="7"/>
      <c r="P392" s="7"/>
      <c r="S392" s="7"/>
      <c r="V392" s="7"/>
      <c r="Y392" s="6"/>
      <c r="AB392" s="7"/>
      <c r="AE392" s="7"/>
      <c r="AH392" s="7"/>
      <c r="AK392" s="7"/>
    </row>
    <row r="393" spans="1:37">
      <c r="A393" s="1"/>
      <c r="B393" s="1"/>
      <c r="D393" s="7"/>
      <c r="G393" s="7"/>
      <c r="J393" s="7"/>
      <c r="M393" s="7"/>
      <c r="P393" s="7"/>
      <c r="S393" s="7"/>
      <c r="V393" s="7"/>
      <c r="Y393" s="6"/>
      <c r="AB393" s="7"/>
      <c r="AE393" s="7"/>
      <c r="AH393" s="7"/>
      <c r="AK393" s="7"/>
    </row>
    <row r="394" spans="1:37">
      <c r="A394" s="1"/>
      <c r="B394" s="1"/>
      <c r="D394" s="7"/>
      <c r="G394" s="7"/>
      <c r="J394" s="7"/>
      <c r="M394" s="7"/>
      <c r="P394" s="7"/>
      <c r="S394" s="7"/>
      <c r="V394" s="7"/>
      <c r="Y394" s="6"/>
      <c r="AB394" s="7"/>
      <c r="AE394" s="7"/>
      <c r="AH394" s="7"/>
      <c r="AK394" s="7"/>
    </row>
    <row r="395" spans="1:37">
      <c r="A395" s="1"/>
      <c r="B395" s="1"/>
      <c r="D395" s="7"/>
      <c r="G395" s="7"/>
      <c r="J395" s="7"/>
      <c r="M395" s="7"/>
      <c r="P395" s="7"/>
      <c r="S395" s="7"/>
      <c r="V395" s="7"/>
      <c r="Y395" s="6"/>
      <c r="AB395" s="7"/>
      <c r="AE395" s="7"/>
      <c r="AH395" s="7"/>
      <c r="AK395" s="7"/>
    </row>
    <row r="396" spans="1:37">
      <c r="A396" s="1"/>
      <c r="B396" s="1"/>
      <c r="D396" s="7"/>
      <c r="G396" s="7"/>
      <c r="J396" s="7"/>
      <c r="M396" s="7"/>
      <c r="P396" s="7"/>
      <c r="S396" s="7"/>
      <c r="V396" s="7"/>
      <c r="Y396" s="6"/>
      <c r="AB396" s="7"/>
      <c r="AE396" s="7"/>
      <c r="AH396" s="7"/>
      <c r="AK396" s="7"/>
    </row>
    <row r="397" spans="1:37">
      <c r="A397" s="1"/>
      <c r="B397" s="1"/>
      <c r="D397" s="7"/>
      <c r="G397" s="7"/>
      <c r="J397" s="7"/>
      <c r="M397" s="7"/>
      <c r="P397" s="7"/>
      <c r="S397" s="7"/>
      <c r="V397" s="7"/>
      <c r="Y397" s="6"/>
      <c r="AB397" s="7"/>
      <c r="AE397" s="7"/>
      <c r="AH397" s="7"/>
      <c r="AK397" s="7"/>
    </row>
    <row r="398" spans="1:37">
      <c r="A398" s="1"/>
      <c r="B398" s="1"/>
      <c r="D398" s="7"/>
      <c r="G398" s="7"/>
      <c r="J398" s="7"/>
      <c r="M398" s="7"/>
      <c r="P398" s="7"/>
      <c r="S398" s="7"/>
      <c r="V398" s="7"/>
      <c r="Y398" s="6"/>
      <c r="AB398" s="7"/>
      <c r="AE398" s="7"/>
      <c r="AH398" s="7"/>
      <c r="AK398" s="7"/>
    </row>
    <row r="399" spans="1:37">
      <c r="A399" s="1"/>
      <c r="B399" s="1"/>
      <c r="D399" s="7"/>
      <c r="G399" s="7"/>
      <c r="J399" s="7"/>
      <c r="M399" s="7"/>
      <c r="P399" s="7"/>
      <c r="S399" s="7"/>
      <c r="V399" s="7"/>
      <c r="Y399" s="6"/>
      <c r="AB399" s="7"/>
      <c r="AE399" s="7"/>
      <c r="AH399" s="7"/>
      <c r="AK399" s="7"/>
    </row>
    <row r="400" spans="1:37">
      <c r="A400" s="1"/>
      <c r="B400" s="1"/>
      <c r="D400" s="7"/>
      <c r="G400" s="7"/>
      <c r="J400" s="7"/>
      <c r="M400" s="7"/>
      <c r="P400" s="7"/>
      <c r="S400" s="7"/>
      <c r="V400" s="7"/>
      <c r="Y400" s="6"/>
      <c r="AB400" s="7"/>
      <c r="AE400" s="7"/>
      <c r="AH400" s="7"/>
      <c r="AK400" s="7"/>
    </row>
    <row r="401" spans="1:37">
      <c r="A401" s="1"/>
      <c r="B401" s="1"/>
      <c r="D401" s="7"/>
      <c r="G401" s="7"/>
      <c r="J401" s="7"/>
      <c r="M401" s="7"/>
      <c r="P401" s="7"/>
      <c r="S401" s="7"/>
      <c r="V401" s="7"/>
      <c r="Y401" s="6"/>
      <c r="AB401" s="7"/>
      <c r="AE401" s="7"/>
      <c r="AH401" s="7"/>
      <c r="AK401" s="7"/>
    </row>
    <row r="402" spans="1:37">
      <c r="A402" s="1"/>
      <c r="B402" s="1"/>
      <c r="D402" s="7"/>
      <c r="G402" s="7"/>
      <c r="J402" s="7"/>
      <c r="M402" s="7"/>
      <c r="P402" s="7"/>
      <c r="S402" s="7"/>
      <c r="V402" s="7"/>
      <c r="Y402" s="6"/>
      <c r="AB402" s="7"/>
      <c r="AE402" s="7"/>
      <c r="AH402" s="7"/>
      <c r="AK402" s="7"/>
    </row>
    <row r="403" spans="1:37">
      <c r="A403" s="1"/>
      <c r="B403" s="1"/>
      <c r="D403" s="7"/>
      <c r="G403" s="7"/>
      <c r="J403" s="7"/>
      <c r="M403" s="7"/>
      <c r="P403" s="7"/>
      <c r="S403" s="7"/>
      <c r="V403" s="7"/>
      <c r="Y403" s="6"/>
      <c r="AB403" s="7"/>
      <c r="AE403" s="7"/>
      <c r="AH403" s="7"/>
      <c r="AK403" s="7"/>
    </row>
    <row r="404" spans="1:37">
      <c r="A404" s="1"/>
      <c r="B404" s="1"/>
      <c r="D404" s="7"/>
      <c r="G404" s="7"/>
      <c r="J404" s="7"/>
      <c r="M404" s="7"/>
      <c r="P404" s="7"/>
      <c r="S404" s="7"/>
      <c r="V404" s="7"/>
      <c r="Y404" s="6"/>
      <c r="AB404" s="7"/>
      <c r="AE404" s="7"/>
      <c r="AH404" s="7"/>
      <c r="AK404" s="7"/>
    </row>
    <row r="405" spans="1:37">
      <c r="A405" s="1"/>
      <c r="B405" s="1"/>
      <c r="D405" s="7"/>
      <c r="G405" s="7"/>
      <c r="J405" s="7"/>
      <c r="M405" s="7"/>
      <c r="P405" s="7"/>
      <c r="S405" s="7"/>
      <c r="V405" s="7"/>
      <c r="Y405" s="6"/>
      <c r="AB405" s="7"/>
      <c r="AE405" s="7"/>
      <c r="AH405" s="7"/>
      <c r="AK405" s="7"/>
    </row>
    <row r="406" spans="1:37">
      <c r="A406" s="1"/>
      <c r="B406" s="1"/>
      <c r="D406" s="7"/>
      <c r="G406" s="7"/>
      <c r="J406" s="7"/>
      <c r="M406" s="7"/>
      <c r="P406" s="7"/>
      <c r="S406" s="7"/>
      <c r="V406" s="7"/>
      <c r="Y406" s="6"/>
      <c r="AB406" s="7"/>
      <c r="AE406" s="7"/>
      <c r="AH406" s="7"/>
      <c r="AK406" s="7"/>
    </row>
    <row r="407" spans="1:37">
      <c r="A407" s="1"/>
      <c r="B407" s="1"/>
      <c r="D407" s="7"/>
      <c r="G407" s="7"/>
      <c r="J407" s="7"/>
      <c r="M407" s="7"/>
      <c r="P407" s="7"/>
      <c r="S407" s="7"/>
      <c r="V407" s="7"/>
      <c r="Y407" s="6"/>
      <c r="AB407" s="7"/>
      <c r="AE407" s="7"/>
      <c r="AH407" s="7"/>
      <c r="AK407" s="7"/>
    </row>
    <row r="408" spans="1:37">
      <c r="A408" s="1"/>
      <c r="B408" s="1"/>
      <c r="D408" s="7"/>
      <c r="G408" s="7"/>
      <c r="J408" s="7"/>
      <c r="M408" s="7"/>
      <c r="P408" s="7"/>
      <c r="S408" s="7"/>
      <c r="V408" s="7"/>
      <c r="Y408" s="6"/>
      <c r="AB408" s="7"/>
      <c r="AE408" s="7"/>
      <c r="AH408" s="7"/>
      <c r="AK408" s="7"/>
    </row>
    <row r="409" spans="1:37">
      <c r="A409" s="1"/>
      <c r="B409" s="1"/>
      <c r="D409" s="7"/>
      <c r="G409" s="7"/>
      <c r="J409" s="7"/>
      <c r="M409" s="7"/>
      <c r="P409" s="7"/>
      <c r="S409" s="7"/>
      <c r="V409" s="7"/>
      <c r="Y409" s="6"/>
      <c r="AB409" s="7"/>
      <c r="AE409" s="7"/>
      <c r="AH409" s="7"/>
      <c r="AK409" s="7"/>
    </row>
    <row r="410" spans="1:37">
      <c r="A410" s="1"/>
      <c r="B410" s="1"/>
      <c r="D410" s="7"/>
      <c r="G410" s="7"/>
      <c r="J410" s="7"/>
      <c r="M410" s="7"/>
      <c r="P410" s="7"/>
      <c r="S410" s="7"/>
      <c r="V410" s="7"/>
      <c r="Y410" s="6"/>
      <c r="AB410" s="7"/>
      <c r="AE410" s="7"/>
      <c r="AH410" s="7"/>
      <c r="AK410" s="7"/>
    </row>
    <row r="411" spans="1:37">
      <c r="A411" s="1"/>
      <c r="B411" s="1"/>
      <c r="D411" s="7"/>
      <c r="G411" s="7"/>
      <c r="J411" s="7"/>
      <c r="M411" s="7"/>
      <c r="P411" s="7"/>
      <c r="S411" s="7"/>
      <c r="V411" s="7"/>
      <c r="Y411" s="6"/>
      <c r="AB411" s="7"/>
      <c r="AE411" s="7"/>
      <c r="AH411" s="7"/>
      <c r="AK411" s="7"/>
    </row>
    <row r="412" spans="1:37">
      <c r="A412" s="1"/>
      <c r="B412" s="1"/>
      <c r="D412" s="7"/>
      <c r="G412" s="7"/>
      <c r="J412" s="7"/>
      <c r="M412" s="7"/>
      <c r="P412" s="7"/>
      <c r="S412" s="7"/>
      <c r="V412" s="7"/>
      <c r="Y412" s="6"/>
      <c r="AB412" s="7"/>
      <c r="AE412" s="7"/>
      <c r="AH412" s="7"/>
      <c r="AK412" s="7"/>
    </row>
    <row r="413" spans="1:37">
      <c r="A413" s="1"/>
      <c r="B413" s="1"/>
      <c r="D413" s="7"/>
      <c r="G413" s="7"/>
      <c r="J413" s="7"/>
      <c r="M413" s="7"/>
      <c r="P413" s="7"/>
      <c r="S413" s="7"/>
      <c r="V413" s="7"/>
      <c r="Y413" s="6"/>
      <c r="AB413" s="7"/>
      <c r="AE413" s="7"/>
      <c r="AH413" s="7"/>
      <c r="AK413" s="7"/>
    </row>
    <row r="414" spans="1:37">
      <c r="A414" s="1"/>
      <c r="B414" s="1"/>
      <c r="D414" s="7"/>
      <c r="G414" s="7"/>
      <c r="J414" s="7"/>
      <c r="M414" s="7"/>
      <c r="P414" s="7"/>
      <c r="S414" s="7"/>
      <c r="V414" s="7"/>
      <c r="Y414" s="6"/>
      <c r="AB414" s="7"/>
      <c r="AE414" s="7"/>
      <c r="AH414" s="7"/>
      <c r="AK414" s="7"/>
    </row>
    <row r="415" spans="1:37">
      <c r="A415" s="1"/>
      <c r="B415" s="1"/>
      <c r="D415" s="7"/>
      <c r="G415" s="7"/>
      <c r="J415" s="7"/>
      <c r="M415" s="7"/>
      <c r="P415" s="7"/>
      <c r="S415" s="7"/>
      <c r="V415" s="7"/>
      <c r="Y415" s="6"/>
      <c r="AB415" s="7"/>
      <c r="AE415" s="7"/>
      <c r="AH415" s="7"/>
      <c r="AK415" s="7"/>
    </row>
    <row r="416" spans="1:37">
      <c r="A416" s="1"/>
      <c r="B416" s="1"/>
      <c r="D416" s="7"/>
      <c r="G416" s="7"/>
      <c r="J416" s="7"/>
      <c r="M416" s="7"/>
      <c r="P416" s="7"/>
      <c r="S416" s="7"/>
      <c r="V416" s="7"/>
      <c r="Y416" s="6"/>
      <c r="AB416" s="7"/>
      <c r="AE416" s="7"/>
      <c r="AH416" s="7"/>
      <c r="AK416" s="7"/>
    </row>
    <row r="417" spans="1:37">
      <c r="A417" s="1"/>
      <c r="B417" s="1"/>
      <c r="D417" s="7"/>
      <c r="G417" s="7"/>
      <c r="J417" s="7"/>
      <c r="M417" s="7"/>
      <c r="P417" s="7"/>
      <c r="S417" s="7"/>
      <c r="V417" s="7"/>
      <c r="Y417" s="6"/>
      <c r="AB417" s="7"/>
      <c r="AE417" s="7"/>
      <c r="AH417" s="7"/>
      <c r="AK417" s="7"/>
    </row>
    <row r="418" spans="1:37">
      <c r="A418" s="1"/>
      <c r="B418" s="1"/>
      <c r="D418" s="7"/>
      <c r="G418" s="7"/>
      <c r="J418" s="7"/>
      <c r="M418" s="7"/>
      <c r="P418" s="7"/>
      <c r="S418" s="7"/>
      <c r="V418" s="7"/>
      <c r="Y418" s="6"/>
      <c r="AB418" s="7"/>
      <c r="AE418" s="7"/>
      <c r="AH418" s="7"/>
      <c r="AK418" s="7"/>
    </row>
    <row r="419" spans="1:37">
      <c r="A419" s="1"/>
      <c r="B419" s="1"/>
      <c r="D419" s="7"/>
      <c r="G419" s="7"/>
      <c r="J419" s="7"/>
      <c r="M419" s="7"/>
      <c r="P419" s="7"/>
      <c r="S419" s="7"/>
      <c r="V419" s="7"/>
      <c r="Y419" s="6"/>
      <c r="AB419" s="7"/>
      <c r="AE419" s="7"/>
      <c r="AH419" s="7"/>
      <c r="AK419" s="7"/>
    </row>
    <row r="420" spans="1:37">
      <c r="A420" s="1"/>
      <c r="B420" s="1"/>
      <c r="D420" s="7"/>
      <c r="G420" s="7"/>
      <c r="J420" s="7"/>
      <c r="M420" s="7"/>
      <c r="P420" s="7"/>
      <c r="S420" s="7"/>
      <c r="V420" s="7"/>
      <c r="Y420" s="6"/>
      <c r="AB420" s="7"/>
      <c r="AE420" s="7"/>
      <c r="AH420" s="7"/>
      <c r="AK420" s="7"/>
    </row>
    <row r="421" spans="1:37">
      <c r="A421" s="1"/>
      <c r="B421" s="1"/>
      <c r="D421" s="7"/>
      <c r="G421" s="7"/>
      <c r="J421" s="7"/>
      <c r="M421" s="7"/>
      <c r="P421" s="7"/>
      <c r="S421" s="7"/>
      <c r="V421" s="7"/>
      <c r="Y421" s="6"/>
      <c r="AB421" s="7"/>
      <c r="AE421" s="7"/>
      <c r="AH421" s="7"/>
      <c r="AK421" s="7"/>
    </row>
    <row r="422" spans="1:37">
      <c r="A422" s="1"/>
      <c r="B422" s="1"/>
      <c r="D422" s="7"/>
      <c r="G422" s="7"/>
      <c r="J422" s="7"/>
      <c r="M422" s="7"/>
      <c r="P422" s="7"/>
      <c r="S422" s="7"/>
      <c r="V422" s="7"/>
      <c r="Y422" s="6"/>
      <c r="AB422" s="7"/>
      <c r="AE422" s="7"/>
      <c r="AH422" s="7"/>
      <c r="AK422" s="7"/>
    </row>
    <row r="423" spans="1:37">
      <c r="A423" s="1"/>
      <c r="B423" s="1"/>
      <c r="D423" s="7"/>
      <c r="G423" s="7"/>
      <c r="J423" s="7"/>
      <c r="M423" s="7"/>
      <c r="P423" s="7"/>
      <c r="S423" s="7"/>
      <c r="V423" s="7"/>
      <c r="Y423" s="6"/>
      <c r="AB423" s="7"/>
      <c r="AE423" s="7"/>
      <c r="AH423" s="7"/>
      <c r="AK423" s="7"/>
    </row>
    <row r="424" spans="1:37">
      <c r="A424" s="1"/>
      <c r="B424" s="1"/>
      <c r="D424" s="7"/>
      <c r="G424" s="7"/>
      <c r="J424" s="7"/>
      <c r="M424" s="7"/>
      <c r="P424" s="7"/>
      <c r="S424" s="7"/>
      <c r="V424" s="7"/>
      <c r="Y424" s="6"/>
      <c r="AB424" s="7"/>
      <c r="AE424" s="7"/>
      <c r="AH424" s="7"/>
      <c r="AK424" s="7"/>
    </row>
    <row r="425" spans="1:37">
      <c r="A425" s="1"/>
      <c r="B425" s="1"/>
      <c r="D425" s="7"/>
      <c r="G425" s="7"/>
      <c r="J425" s="7"/>
      <c r="M425" s="7"/>
      <c r="P425" s="7"/>
      <c r="S425" s="7"/>
      <c r="V425" s="7"/>
      <c r="Y425" s="6"/>
      <c r="AB425" s="7"/>
      <c r="AE425" s="7"/>
      <c r="AH425" s="7"/>
      <c r="AK425" s="7"/>
    </row>
    <row r="426" spans="1:37">
      <c r="A426" s="1"/>
      <c r="B426" s="1"/>
      <c r="D426" s="7"/>
      <c r="G426" s="7"/>
      <c r="J426" s="7"/>
      <c r="M426" s="7"/>
      <c r="P426" s="7"/>
      <c r="S426" s="7"/>
      <c r="V426" s="7"/>
      <c r="Y426" s="6"/>
      <c r="AB426" s="7"/>
      <c r="AE426" s="7"/>
      <c r="AH426" s="7"/>
      <c r="AK426" s="7"/>
    </row>
    <row r="427" spans="1:37">
      <c r="A427" s="1"/>
      <c r="B427" s="1"/>
      <c r="D427" s="7"/>
      <c r="G427" s="7"/>
      <c r="J427" s="7"/>
      <c r="M427" s="7"/>
      <c r="P427" s="7"/>
      <c r="S427" s="7"/>
      <c r="V427" s="7"/>
      <c r="Y427" s="6"/>
      <c r="AB427" s="7"/>
      <c r="AE427" s="7"/>
      <c r="AH427" s="7"/>
      <c r="AK427" s="7"/>
    </row>
    <row r="428" spans="1:37">
      <c r="A428" s="1"/>
      <c r="B428" s="1"/>
      <c r="D428" s="7"/>
      <c r="G428" s="7"/>
      <c r="J428" s="7"/>
      <c r="M428" s="7"/>
      <c r="P428" s="7"/>
      <c r="S428" s="7"/>
      <c r="V428" s="7"/>
      <c r="Y428" s="6"/>
      <c r="AB428" s="7"/>
      <c r="AE428" s="7"/>
      <c r="AH428" s="7"/>
      <c r="AK428" s="7"/>
    </row>
    <row r="429" spans="1:37">
      <c r="A429" s="1"/>
      <c r="B429" s="1"/>
      <c r="D429" s="7"/>
      <c r="G429" s="7"/>
      <c r="J429" s="7"/>
      <c r="M429" s="7"/>
      <c r="P429" s="7"/>
      <c r="S429" s="7"/>
      <c r="V429" s="7"/>
      <c r="Y429" s="6"/>
      <c r="AB429" s="7"/>
      <c r="AE429" s="7"/>
      <c r="AH429" s="7"/>
      <c r="AK429" s="7"/>
    </row>
    <row r="430" spans="1:37">
      <c r="A430" s="1"/>
      <c r="B430" s="1"/>
      <c r="D430" s="7"/>
      <c r="G430" s="7"/>
      <c r="J430" s="7"/>
      <c r="M430" s="7"/>
      <c r="P430" s="7"/>
      <c r="S430" s="7"/>
      <c r="V430" s="7"/>
      <c r="Y430" s="6"/>
      <c r="AB430" s="7"/>
      <c r="AE430" s="7"/>
      <c r="AH430" s="7"/>
      <c r="AK430" s="7"/>
    </row>
    <row r="431" spans="1:37">
      <c r="A431" s="1"/>
      <c r="B431" s="1"/>
      <c r="D431" s="7"/>
      <c r="G431" s="7"/>
      <c r="J431" s="7"/>
      <c r="M431" s="7"/>
      <c r="P431" s="7"/>
      <c r="S431" s="7"/>
      <c r="V431" s="7"/>
      <c r="Y431" s="6"/>
      <c r="AB431" s="7"/>
      <c r="AE431" s="7"/>
      <c r="AH431" s="7"/>
      <c r="AK431" s="7"/>
    </row>
    <row r="432" spans="1:37">
      <c r="A432" s="1"/>
      <c r="B432" s="1"/>
      <c r="D432" s="7"/>
      <c r="G432" s="7"/>
      <c r="J432" s="7"/>
      <c r="M432" s="7"/>
      <c r="P432" s="7"/>
      <c r="S432" s="7"/>
      <c r="V432" s="7"/>
      <c r="Y432" s="6"/>
      <c r="AB432" s="7"/>
      <c r="AE432" s="7"/>
      <c r="AH432" s="7"/>
      <c r="AK432" s="7"/>
    </row>
    <row r="433" spans="1:37">
      <c r="A433" s="1"/>
      <c r="B433" s="1"/>
      <c r="D433" s="7"/>
      <c r="G433" s="7"/>
      <c r="J433" s="7"/>
      <c r="M433" s="7"/>
      <c r="P433" s="7"/>
      <c r="S433" s="7"/>
      <c r="V433" s="7"/>
      <c r="Y433" s="6"/>
      <c r="AB433" s="7"/>
      <c r="AE433" s="7"/>
      <c r="AH433" s="7"/>
      <c r="AK433" s="7"/>
    </row>
    <row r="434" spans="1:37">
      <c r="A434" s="1"/>
      <c r="B434" s="1"/>
      <c r="D434" s="7"/>
      <c r="G434" s="7"/>
      <c r="J434" s="7"/>
      <c r="M434" s="7"/>
      <c r="P434" s="7"/>
      <c r="S434" s="7"/>
      <c r="V434" s="7"/>
      <c r="Y434" s="6"/>
      <c r="AB434" s="7"/>
      <c r="AE434" s="7"/>
      <c r="AH434" s="7"/>
      <c r="AK434" s="7"/>
    </row>
    <row r="435" spans="1:37">
      <c r="A435" s="1"/>
      <c r="B435" s="1"/>
      <c r="D435" s="7"/>
      <c r="G435" s="7"/>
      <c r="J435" s="7"/>
      <c r="M435" s="7"/>
      <c r="P435" s="7"/>
      <c r="S435" s="7"/>
      <c r="V435" s="7"/>
      <c r="Y435" s="6"/>
      <c r="AB435" s="7"/>
      <c r="AE435" s="7"/>
      <c r="AH435" s="7"/>
      <c r="AK435" s="7"/>
    </row>
    <row r="436" spans="1:37">
      <c r="A436" s="1"/>
      <c r="B436" s="1"/>
      <c r="D436" s="7"/>
      <c r="G436" s="7"/>
      <c r="J436" s="7"/>
      <c r="M436" s="7"/>
      <c r="P436" s="7"/>
      <c r="S436" s="7"/>
      <c r="V436" s="7"/>
      <c r="Y436" s="6"/>
      <c r="AB436" s="7"/>
      <c r="AE436" s="7"/>
      <c r="AH436" s="7"/>
      <c r="AK436" s="7"/>
    </row>
    <row r="437" spans="1:37">
      <c r="A437" s="1"/>
      <c r="B437" s="1"/>
      <c r="D437" s="7"/>
      <c r="G437" s="7"/>
      <c r="J437" s="7"/>
      <c r="M437" s="7"/>
      <c r="P437" s="7"/>
      <c r="S437" s="7"/>
      <c r="V437" s="7"/>
      <c r="Y437" s="6"/>
      <c r="AB437" s="7"/>
      <c r="AE437" s="7"/>
      <c r="AH437" s="7"/>
      <c r="AK437" s="7"/>
    </row>
    <row r="438" spans="1:37">
      <c r="A438" s="1"/>
      <c r="B438" s="1"/>
      <c r="D438" s="7"/>
      <c r="G438" s="7"/>
      <c r="J438" s="7"/>
      <c r="M438" s="7"/>
      <c r="P438" s="7"/>
      <c r="S438" s="7"/>
      <c r="V438" s="7"/>
      <c r="Y438" s="6"/>
      <c r="AB438" s="7"/>
      <c r="AE438" s="7"/>
      <c r="AH438" s="7"/>
      <c r="AK438" s="7"/>
    </row>
    <row r="439" spans="1:37">
      <c r="A439" s="1"/>
      <c r="B439" s="1"/>
      <c r="D439" s="7"/>
      <c r="G439" s="7"/>
      <c r="J439" s="7"/>
      <c r="M439" s="7"/>
      <c r="P439" s="7"/>
      <c r="S439" s="7"/>
      <c r="V439" s="7"/>
      <c r="Y439" s="6"/>
      <c r="AB439" s="7"/>
      <c r="AE439" s="7"/>
      <c r="AH439" s="7"/>
      <c r="AK439" s="7"/>
    </row>
    <row r="440" spans="1:37">
      <c r="A440" s="1"/>
      <c r="B440" s="1"/>
      <c r="D440" s="7"/>
      <c r="G440" s="7"/>
      <c r="J440" s="7"/>
      <c r="M440" s="7"/>
      <c r="P440" s="7"/>
      <c r="S440" s="7"/>
      <c r="V440" s="7"/>
      <c r="Y440" s="6"/>
      <c r="AB440" s="7"/>
      <c r="AE440" s="7"/>
      <c r="AH440" s="7"/>
      <c r="AK440" s="7"/>
    </row>
    <row r="441" spans="1:37">
      <c r="A441" s="1"/>
      <c r="B441" s="1"/>
      <c r="D441" s="7"/>
      <c r="G441" s="7"/>
      <c r="J441" s="7"/>
      <c r="M441" s="7"/>
      <c r="P441" s="7"/>
      <c r="S441" s="7"/>
      <c r="V441" s="7"/>
      <c r="Y441" s="6"/>
      <c r="AB441" s="7"/>
      <c r="AE441" s="7"/>
      <c r="AH441" s="7"/>
      <c r="AK441" s="7"/>
    </row>
    <row r="442" spans="1:37">
      <c r="A442" s="1"/>
      <c r="B442" s="1"/>
      <c r="D442" s="7"/>
      <c r="G442" s="7"/>
      <c r="J442" s="7"/>
      <c r="M442" s="7"/>
      <c r="P442" s="7"/>
      <c r="S442" s="7"/>
      <c r="V442" s="7"/>
      <c r="Y442" s="6"/>
      <c r="AB442" s="7"/>
      <c r="AE442" s="7"/>
      <c r="AH442" s="7"/>
      <c r="AK442" s="7"/>
    </row>
    <row r="443" spans="1:37">
      <c r="A443" s="1"/>
      <c r="B443" s="1"/>
      <c r="D443" s="7"/>
      <c r="G443" s="7"/>
      <c r="J443" s="7"/>
      <c r="M443" s="7"/>
      <c r="P443" s="7"/>
      <c r="S443" s="7"/>
      <c r="V443" s="7"/>
      <c r="Y443" s="6"/>
      <c r="AB443" s="7"/>
      <c r="AE443" s="7"/>
      <c r="AH443" s="7"/>
      <c r="AK443" s="7"/>
    </row>
    <row r="444" spans="1:37">
      <c r="A444" s="1"/>
      <c r="B444" s="1"/>
      <c r="D444" s="7"/>
      <c r="G444" s="7"/>
      <c r="J444" s="7"/>
      <c r="M444" s="7"/>
      <c r="P444" s="7"/>
      <c r="S444" s="7"/>
      <c r="V444" s="7"/>
      <c r="Y444" s="6"/>
      <c r="AB444" s="7"/>
      <c r="AE444" s="7"/>
      <c r="AH444" s="7"/>
      <c r="AK444" s="7"/>
    </row>
    <row r="445" spans="1:37">
      <c r="A445" s="1"/>
      <c r="B445" s="1"/>
      <c r="D445" s="7"/>
      <c r="G445" s="7"/>
      <c r="J445" s="7"/>
      <c r="M445" s="7"/>
      <c r="P445" s="7"/>
      <c r="S445" s="7"/>
      <c r="V445" s="7"/>
      <c r="Y445" s="6"/>
      <c r="AB445" s="7"/>
      <c r="AE445" s="7"/>
      <c r="AH445" s="7"/>
      <c r="AK445" s="7"/>
    </row>
    <row r="446" spans="1:37">
      <c r="A446" s="1"/>
      <c r="B446" s="1"/>
      <c r="D446" s="7"/>
      <c r="G446" s="7"/>
      <c r="J446" s="7"/>
      <c r="M446" s="7"/>
      <c r="P446" s="7"/>
      <c r="S446" s="7"/>
      <c r="V446" s="7"/>
      <c r="Y446" s="6"/>
      <c r="AB446" s="7"/>
      <c r="AE446" s="7"/>
      <c r="AH446" s="7"/>
      <c r="AK446" s="7"/>
    </row>
    <row r="447" spans="1:37">
      <c r="A447" s="1"/>
      <c r="B447" s="1"/>
      <c r="D447" s="7"/>
      <c r="G447" s="7"/>
      <c r="J447" s="7"/>
      <c r="M447" s="7"/>
      <c r="P447" s="7"/>
      <c r="S447" s="7"/>
      <c r="V447" s="7"/>
      <c r="Y447" s="6"/>
      <c r="AB447" s="7"/>
      <c r="AE447" s="7"/>
      <c r="AH447" s="7"/>
      <c r="AK447" s="7"/>
    </row>
    <row r="448" spans="1:37">
      <c r="A448" s="1"/>
      <c r="B448" s="1"/>
      <c r="D448" s="7"/>
      <c r="G448" s="7"/>
      <c r="J448" s="7"/>
      <c r="M448" s="7"/>
      <c r="P448" s="7"/>
      <c r="S448" s="7"/>
      <c r="V448" s="7"/>
      <c r="Y448" s="6"/>
      <c r="AB448" s="7"/>
      <c r="AE448" s="7"/>
      <c r="AH448" s="7"/>
      <c r="AK448" s="7"/>
    </row>
    <row r="449" spans="1:37">
      <c r="A449" s="1"/>
      <c r="B449" s="1"/>
      <c r="D449" s="7"/>
      <c r="G449" s="7"/>
      <c r="J449" s="7"/>
      <c r="M449" s="7"/>
      <c r="P449" s="7"/>
      <c r="S449" s="7"/>
      <c r="V449" s="7"/>
      <c r="Y449" s="6"/>
      <c r="AB449" s="7"/>
      <c r="AE449" s="7"/>
      <c r="AH449" s="7"/>
      <c r="AK449" s="7"/>
    </row>
    <row r="450" spans="1:37">
      <c r="A450" s="1"/>
      <c r="B450" s="1"/>
      <c r="D450" s="7"/>
      <c r="G450" s="7"/>
      <c r="J450" s="7"/>
      <c r="M450" s="7"/>
      <c r="P450" s="7"/>
      <c r="S450" s="7"/>
      <c r="V450" s="7"/>
      <c r="Y450" s="6"/>
      <c r="AB450" s="7"/>
      <c r="AE450" s="7"/>
      <c r="AH450" s="7"/>
      <c r="AK450" s="7"/>
    </row>
    <row r="451" spans="1:37">
      <c r="A451" s="1"/>
      <c r="B451" s="1"/>
      <c r="D451" s="7"/>
      <c r="G451" s="7"/>
      <c r="J451" s="7"/>
      <c r="M451" s="7"/>
      <c r="P451" s="7"/>
      <c r="S451" s="7"/>
      <c r="V451" s="7"/>
      <c r="Y451" s="6"/>
      <c r="AB451" s="7"/>
      <c r="AE451" s="7"/>
      <c r="AH451" s="7"/>
      <c r="AK451" s="7"/>
    </row>
    <row r="452" spans="1:37">
      <c r="A452" s="1"/>
      <c r="B452" s="1"/>
      <c r="D452" s="7"/>
      <c r="G452" s="7"/>
      <c r="J452" s="7"/>
      <c r="M452" s="7"/>
      <c r="P452" s="7"/>
      <c r="S452" s="7"/>
      <c r="V452" s="7"/>
      <c r="Y452" s="6"/>
      <c r="AB452" s="7"/>
      <c r="AE452" s="7"/>
      <c r="AH452" s="7"/>
      <c r="AK452" s="7"/>
    </row>
    <row r="453" spans="1:37">
      <c r="A453" s="1"/>
      <c r="B453" s="1"/>
      <c r="D453" s="7"/>
      <c r="G453" s="7"/>
      <c r="J453" s="7"/>
      <c r="M453" s="7"/>
      <c r="P453" s="7"/>
      <c r="S453" s="7"/>
      <c r="V453" s="7"/>
      <c r="Y453" s="6"/>
      <c r="AB453" s="7"/>
      <c r="AE453" s="7"/>
      <c r="AH453" s="7"/>
      <c r="AK453" s="7"/>
    </row>
    <row r="454" spans="1:37">
      <c r="A454" s="1"/>
      <c r="B454" s="1"/>
      <c r="D454" s="7"/>
      <c r="G454" s="7"/>
      <c r="J454" s="7"/>
      <c r="M454" s="7"/>
      <c r="P454" s="7"/>
      <c r="S454" s="7"/>
      <c r="V454" s="7"/>
      <c r="Y454" s="6"/>
      <c r="AB454" s="7"/>
      <c r="AE454" s="7"/>
      <c r="AH454" s="7"/>
      <c r="AK454" s="7"/>
    </row>
    <row r="455" spans="1:37">
      <c r="A455" s="1"/>
      <c r="B455" s="1"/>
      <c r="D455" s="7"/>
      <c r="G455" s="7"/>
      <c r="J455" s="7"/>
      <c r="M455" s="7"/>
      <c r="P455" s="7"/>
      <c r="S455" s="7"/>
      <c r="V455" s="7"/>
      <c r="Y455" s="6"/>
      <c r="AB455" s="7"/>
      <c r="AE455" s="7"/>
      <c r="AH455" s="7"/>
      <c r="AK455" s="7"/>
    </row>
    <row r="456" spans="1:37">
      <c r="A456" s="1"/>
      <c r="B456" s="1"/>
      <c r="D456" s="7"/>
      <c r="G456" s="7"/>
      <c r="J456" s="7"/>
      <c r="M456" s="7"/>
      <c r="P456" s="7"/>
      <c r="S456" s="7"/>
      <c r="V456" s="7"/>
      <c r="Y456" s="6"/>
      <c r="AB456" s="7"/>
      <c r="AE456" s="7"/>
      <c r="AH456" s="7"/>
      <c r="AK456" s="7"/>
    </row>
    <row r="457" spans="1:37">
      <c r="A457" s="1"/>
      <c r="B457" s="1"/>
      <c r="D457" s="7"/>
      <c r="G457" s="7"/>
      <c r="J457" s="7"/>
      <c r="M457" s="7"/>
      <c r="P457" s="7"/>
      <c r="S457" s="7"/>
      <c r="V457" s="7"/>
      <c r="Y457" s="6"/>
      <c r="AB457" s="7"/>
      <c r="AE457" s="7"/>
      <c r="AH457" s="7"/>
      <c r="AK457" s="7"/>
    </row>
    <row r="458" spans="1:37">
      <c r="A458" s="1"/>
      <c r="B458" s="1"/>
      <c r="D458" s="7"/>
      <c r="G458" s="7"/>
      <c r="J458" s="7"/>
      <c r="M458" s="7"/>
      <c r="P458" s="7"/>
      <c r="S458" s="7"/>
      <c r="V458" s="7"/>
      <c r="Y458" s="6"/>
      <c r="AB458" s="7"/>
      <c r="AE458" s="7"/>
      <c r="AH458" s="7"/>
      <c r="AK458" s="7"/>
    </row>
    <row r="459" spans="1:37">
      <c r="A459" s="1"/>
      <c r="B459" s="1"/>
      <c r="D459" s="7"/>
      <c r="G459" s="7"/>
      <c r="J459" s="7"/>
      <c r="M459" s="7"/>
      <c r="P459" s="7"/>
      <c r="S459" s="7"/>
      <c r="V459" s="7"/>
      <c r="Y459" s="6"/>
      <c r="AB459" s="7"/>
      <c r="AE459" s="7"/>
      <c r="AH459" s="7"/>
      <c r="AK459" s="7"/>
    </row>
    <row r="460" spans="1:37">
      <c r="A460" s="1"/>
      <c r="B460" s="1"/>
      <c r="D460" s="7"/>
      <c r="G460" s="7"/>
      <c r="J460" s="7"/>
      <c r="M460" s="7"/>
      <c r="P460" s="7"/>
      <c r="S460" s="7"/>
      <c r="V460" s="7"/>
      <c r="Y460" s="6"/>
      <c r="AB460" s="7"/>
      <c r="AE460" s="7"/>
      <c r="AH460" s="7"/>
      <c r="AK460" s="7"/>
    </row>
    <row r="461" spans="1:37">
      <c r="A461" s="1"/>
      <c r="B461" s="1"/>
      <c r="D461" s="7"/>
      <c r="G461" s="7"/>
      <c r="J461" s="7"/>
      <c r="M461" s="7"/>
      <c r="P461" s="7"/>
      <c r="S461" s="7"/>
      <c r="V461" s="7"/>
      <c r="Y461" s="6"/>
      <c r="AB461" s="7"/>
      <c r="AE461" s="7"/>
      <c r="AH461" s="7"/>
      <c r="AK461" s="7"/>
    </row>
    <row r="462" spans="1:37">
      <c r="A462" s="1"/>
      <c r="B462" s="1"/>
      <c r="D462" s="7"/>
      <c r="G462" s="7"/>
      <c r="J462" s="7"/>
      <c r="M462" s="7"/>
      <c r="P462" s="7"/>
      <c r="S462" s="7"/>
      <c r="V462" s="7"/>
      <c r="Y462" s="6"/>
      <c r="AB462" s="7"/>
      <c r="AE462" s="7"/>
      <c r="AH462" s="7"/>
      <c r="AK462" s="7"/>
    </row>
    <row r="463" spans="1:37">
      <c r="A463" s="1"/>
      <c r="B463" s="1"/>
      <c r="D463" s="7"/>
      <c r="G463" s="7"/>
      <c r="J463" s="7"/>
      <c r="M463" s="7"/>
      <c r="P463" s="7"/>
      <c r="S463" s="7"/>
      <c r="V463" s="7"/>
      <c r="Y463" s="6"/>
      <c r="AB463" s="7"/>
      <c r="AE463" s="7"/>
      <c r="AH463" s="7"/>
      <c r="AK463" s="7"/>
    </row>
    <row r="464" spans="1:37">
      <c r="A464" s="1"/>
      <c r="B464" s="1"/>
      <c r="D464" s="7"/>
      <c r="G464" s="7"/>
      <c r="J464" s="7"/>
      <c r="M464" s="7"/>
      <c r="P464" s="7"/>
      <c r="S464" s="7"/>
      <c r="V464" s="7"/>
      <c r="Y464" s="6"/>
      <c r="AB464" s="7"/>
      <c r="AE464" s="7"/>
      <c r="AH464" s="7"/>
      <c r="AK464" s="7"/>
    </row>
    <row r="465" spans="1:37">
      <c r="A465" s="1"/>
      <c r="B465" s="1"/>
      <c r="D465" s="7"/>
      <c r="G465" s="7"/>
      <c r="J465" s="7"/>
      <c r="M465" s="7"/>
      <c r="P465" s="7"/>
      <c r="S465" s="7"/>
      <c r="V465" s="7"/>
      <c r="Y465" s="6"/>
      <c r="AB465" s="7"/>
      <c r="AE465" s="7"/>
      <c r="AH465" s="7"/>
      <c r="AK465" s="7"/>
    </row>
    <row r="466" spans="1:37">
      <c r="A466" s="1"/>
      <c r="B466" s="1"/>
      <c r="D466" s="7"/>
      <c r="G466" s="7"/>
      <c r="J466" s="7"/>
      <c r="M466" s="7"/>
      <c r="P466" s="7"/>
      <c r="S466" s="7"/>
      <c r="V466" s="7"/>
      <c r="Y466" s="6"/>
      <c r="AB466" s="7"/>
      <c r="AE466" s="7"/>
      <c r="AH466" s="7"/>
      <c r="AK466" s="7"/>
    </row>
    <row r="467" spans="1:37">
      <c r="A467" s="1"/>
      <c r="B467" s="1"/>
      <c r="D467" s="7"/>
      <c r="G467" s="7"/>
      <c r="J467" s="7"/>
      <c r="M467" s="7"/>
      <c r="P467" s="7"/>
      <c r="S467" s="7"/>
      <c r="V467" s="7"/>
      <c r="Y467" s="6"/>
      <c r="AB467" s="7"/>
      <c r="AE467" s="7"/>
      <c r="AH467" s="7"/>
      <c r="AK467" s="7"/>
    </row>
    <row r="468" spans="1:37">
      <c r="A468" s="1"/>
      <c r="B468" s="1"/>
      <c r="D468" s="7"/>
      <c r="G468" s="7"/>
      <c r="J468" s="7"/>
      <c r="M468" s="7"/>
      <c r="P468" s="7"/>
      <c r="S468" s="7"/>
      <c r="V468" s="7"/>
      <c r="Y468" s="6"/>
      <c r="AB468" s="7"/>
      <c r="AE468" s="7"/>
      <c r="AH468" s="7"/>
      <c r="AK468" s="7"/>
    </row>
    <row r="469" spans="1:37">
      <c r="A469" s="1"/>
      <c r="B469" s="1"/>
      <c r="D469" s="7"/>
      <c r="G469" s="7"/>
      <c r="J469" s="7"/>
      <c r="M469" s="7"/>
      <c r="P469" s="7"/>
      <c r="S469" s="7"/>
      <c r="V469" s="7"/>
      <c r="Y469" s="6"/>
      <c r="AB469" s="7"/>
      <c r="AE469" s="7"/>
      <c r="AH469" s="7"/>
      <c r="AK469" s="7"/>
    </row>
    <row r="470" spans="1:37">
      <c r="A470" s="1"/>
      <c r="B470" s="1"/>
      <c r="D470" s="7"/>
      <c r="G470" s="7"/>
      <c r="J470" s="7"/>
      <c r="M470" s="7"/>
      <c r="P470" s="7"/>
      <c r="S470" s="7"/>
      <c r="V470" s="7"/>
      <c r="Y470" s="6"/>
      <c r="AB470" s="7"/>
      <c r="AE470" s="7"/>
      <c r="AH470" s="7"/>
      <c r="AK470" s="7"/>
    </row>
    <row r="471" spans="1:37">
      <c r="A471" s="1"/>
      <c r="B471" s="1"/>
      <c r="D471" s="7"/>
      <c r="G471" s="7"/>
      <c r="J471" s="7"/>
      <c r="M471" s="7"/>
      <c r="P471" s="7"/>
      <c r="S471" s="7"/>
      <c r="V471" s="7"/>
      <c r="Y471" s="6"/>
      <c r="AB471" s="7"/>
      <c r="AE471" s="7"/>
      <c r="AH471" s="7"/>
      <c r="AK471" s="7"/>
    </row>
    <row r="472" spans="1:37">
      <c r="A472" s="1"/>
      <c r="B472" s="1"/>
      <c r="D472" s="7"/>
      <c r="G472" s="7"/>
      <c r="J472" s="7"/>
      <c r="M472" s="7"/>
      <c r="P472" s="7"/>
      <c r="S472" s="7"/>
      <c r="V472" s="7"/>
      <c r="Y472" s="6"/>
      <c r="AB472" s="7"/>
      <c r="AE472" s="7"/>
      <c r="AH472" s="7"/>
      <c r="AK472" s="7"/>
    </row>
    <row r="473" spans="1:37">
      <c r="A473" s="1"/>
      <c r="B473" s="1"/>
      <c r="D473" s="7"/>
      <c r="G473" s="7"/>
      <c r="J473" s="7"/>
      <c r="M473" s="7"/>
      <c r="P473" s="7"/>
      <c r="S473" s="7"/>
      <c r="V473" s="7"/>
      <c r="Y473" s="6"/>
      <c r="AB473" s="7"/>
      <c r="AE473" s="7"/>
      <c r="AH473" s="7"/>
      <c r="AK473" s="7"/>
    </row>
    <row r="474" spans="1:37">
      <c r="A474" s="1"/>
      <c r="B474" s="1"/>
      <c r="D474" s="7"/>
      <c r="G474" s="7"/>
      <c r="J474" s="7"/>
      <c r="M474" s="7"/>
      <c r="P474" s="7"/>
      <c r="S474" s="7"/>
      <c r="V474" s="7"/>
      <c r="Y474" s="6"/>
      <c r="AB474" s="7"/>
      <c r="AE474" s="7"/>
      <c r="AH474" s="7"/>
      <c r="AK474" s="7"/>
    </row>
    <row r="475" spans="1:37">
      <c r="A475" s="1"/>
      <c r="B475" s="1"/>
      <c r="D475" s="7"/>
      <c r="G475" s="7"/>
      <c r="J475" s="7"/>
      <c r="M475" s="7"/>
      <c r="P475" s="7"/>
      <c r="S475" s="7"/>
      <c r="V475" s="7"/>
      <c r="Y475" s="6"/>
      <c r="AB475" s="7"/>
      <c r="AE475" s="7"/>
      <c r="AH475" s="7"/>
      <c r="AK475" s="7"/>
    </row>
    <row r="476" spans="1:37">
      <c r="A476" s="1"/>
      <c r="B476" s="1"/>
      <c r="D476" s="7"/>
      <c r="G476" s="7"/>
      <c r="J476" s="7"/>
      <c r="M476" s="7"/>
      <c r="P476" s="7"/>
      <c r="S476" s="7"/>
      <c r="V476" s="7"/>
      <c r="Y476" s="6"/>
      <c r="AB476" s="7"/>
      <c r="AE476" s="7"/>
      <c r="AH476" s="7"/>
      <c r="AK476" s="7"/>
    </row>
    <row r="477" spans="1:37">
      <c r="A477" s="1"/>
      <c r="B477" s="1"/>
      <c r="D477" s="7"/>
      <c r="G477" s="7"/>
      <c r="J477" s="7"/>
      <c r="M477" s="7"/>
      <c r="P477" s="7"/>
      <c r="S477" s="7"/>
      <c r="V477" s="7"/>
      <c r="Y477" s="6"/>
      <c r="AB477" s="7"/>
      <c r="AE477" s="7"/>
      <c r="AH477" s="7"/>
      <c r="AK477" s="7"/>
    </row>
    <row r="478" spans="1:37">
      <c r="A478" s="1"/>
      <c r="B478" s="1"/>
      <c r="D478" s="7"/>
      <c r="G478" s="7"/>
      <c r="J478" s="7"/>
      <c r="M478" s="7"/>
      <c r="P478" s="7"/>
      <c r="S478" s="7"/>
      <c r="V478" s="7"/>
      <c r="Y478" s="6"/>
      <c r="AB478" s="7"/>
      <c r="AE478" s="7"/>
      <c r="AH478" s="7"/>
      <c r="AK478" s="7"/>
    </row>
    <row r="479" spans="1:37">
      <c r="A479" s="1"/>
      <c r="B479" s="1"/>
      <c r="D479" s="7"/>
      <c r="G479" s="7"/>
      <c r="J479" s="7"/>
      <c r="M479" s="7"/>
      <c r="P479" s="7"/>
      <c r="S479" s="7"/>
      <c r="V479" s="7"/>
      <c r="Y479" s="6"/>
      <c r="AB479" s="7"/>
      <c r="AE479" s="7"/>
      <c r="AH479" s="7"/>
      <c r="AK479" s="7"/>
    </row>
    <row r="480" spans="1:37">
      <c r="A480" s="1"/>
      <c r="B480" s="1"/>
      <c r="D480" s="7"/>
      <c r="G480" s="7"/>
      <c r="J480" s="7"/>
      <c r="M480" s="7"/>
      <c r="P480" s="7"/>
      <c r="S480" s="7"/>
      <c r="V480" s="7"/>
      <c r="Y480" s="6"/>
      <c r="AB480" s="7"/>
      <c r="AE480" s="7"/>
      <c r="AH480" s="7"/>
      <c r="AK480" s="7"/>
    </row>
    <row r="481" spans="1:37">
      <c r="A481" s="1"/>
      <c r="B481" s="1"/>
      <c r="D481" s="7"/>
      <c r="G481" s="7"/>
      <c r="J481" s="7"/>
      <c r="M481" s="7"/>
      <c r="P481" s="7"/>
      <c r="S481" s="7"/>
      <c r="V481" s="7"/>
      <c r="Y481" s="6"/>
      <c r="AB481" s="7"/>
      <c r="AE481" s="7"/>
      <c r="AH481" s="7"/>
      <c r="AK481" s="7"/>
    </row>
    <row r="482" spans="1:37">
      <c r="A482" s="1"/>
      <c r="B482" s="1"/>
      <c r="D482" s="7"/>
      <c r="G482" s="7"/>
      <c r="J482" s="7"/>
      <c r="M482" s="7"/>
      <c r="P482" s="7"/>
      <c r="S482" s="7"/>
      <c r="V482" s="7"/>
      <c r="Y482" s="6"/>
      <c r="AB482" s="7"/>
      <c r="AE482" s="7"/>
      <c r="AH482" s="7"/>
      <c r="AK482" s="7"/>
    </row>
    <row r="483" spans="1:37">
      <c r="A483" s="1"/>
      <c r="B483" s="1"/>
      <c r="D483" s="7"/>
      <c r="G483" s="7"/>
      <c r="J483" s="7"/>
      <c r="M483" s="7"/>
      <c r="P483" s="7"/>
      <c r="S483" s="7"/>
      <c r="V483" s="7"/>
      <c r="Y483" s="6"/>
      <c r="AB483" s="7"/>
      <c r="AE483" s="7"/>
      <c r="AH483" s="7"/>
      <c r="AK483" s="7"/>
    </row>
    <row r="484" spans="1:37">
      <c r="A484" s="1"/>
      <c r="B484" s="1"/>
      <c r="D484" s="7"/>
      <c r="G484" s="7"/>
      <c r="J484" s="7"/>
      <c r="M484" s="7"/>
      <c r="P484" s="7"/>
      <c r="S484" s="7"/>
      <c r="V484" s="7"/>
      <c r="Y484" s="6"/>
      <c r="AB484" s="7"/>
      <c r="AE484" s="7"/>
      <c r="AH484" s="7"/>
      <c r="AK484" s="7"/>
    </row>
    <row r="485" spans="1:37">
      <c r="A485" s="1"/>
      <c r="B485" s="1"/>
      <c r="D485" s="7"/>
      <c r="G485" s="7"/>
      <c r="J485" s="7"/>
      <c r="M485" s="7"/>
      <c r="P485" s="7"/>
      <c r="S485" s="7"/>
      <c r="V485" s="7"/>
      <c r="Y485" s="6"/>
      <c r="AB485" s="7"/>
      <c r="AE485" s="7"/>
      <c r="AH485" s="7"/>
      <c r="AK485" s="7"/>
    </row>
    <row r="486" spans="1:37">
      <c r="A486" s="1"/>
      <c r="B486" s="1"/>
      <c r="D486" s="7"/>
      <c r="G486" s="7"/>
      <c r="J486" s="7"/>
      <c r="M486" s="7"/>
      <c r="P486" s="7"/>
      <c r="S486" s="7"/>
      <c r="V486" s="7"/>
      <c r="Y486" s="6"/>
      <c r="AB486" s="7"/>
      <c r="AE486" s="7"/>
      <c r="AH486" s="7"/>
      <c r="AK486" s="7"/>
    </row>
    <row r="487" spans="1:37">
      <c r="A487" s="1"/>
      <c r="B487" s="1"/>
      <c r="D487" s="7"/>
      <c r="G487" s="7"/>
      <c r="J487" s="7"/>
      <c r="M487" s="7"/>
      <c r="P487" s="7"/>
      <c r="S487" s="7"/>
      <c r="V487" s="7"/>
      <c r="Y487" s="6"/>
      <c r="AB487" s="7"/>
      <c r="AE487" s="7"/>
      <c r="AH487" s="7"/>
      <c r="AK487" s="7"/>
    </row>
    <row r="488" spans="1:37">
      <c r="A488" s="1"/>
      <c r="B488" s="1"/>
      <c r="D488" s="7"/>
      <c r="G488" s="7"/>
      <c r="J488" s="7"/>
      <c r="M488" s="7"/>
      <c r="P488" s="7"/>
      <c r="S488" s="7"/>
      <c r="V488" s="7"/>
      <c r="Y488" s="6"/>
      <c r="AB488" s="7"/>
      <c r="AE488" s="7"/>
      <c r="AH488" s="7"/>
      <c r="AK488" s="7"/>
    </row>
    <row r="489" spans="1:37">
      <c r="A489" s="1"/>
      <c r="B489" s="1"/>
      <c r="D489" s="7"/>
      <c r="G489" s="7"/>
      <c r="J489" s="7"/>
      <c r="M489" s="7"/>
      <c r="P489" s="7"/>
      <c r="S489" s="7"/>
      <c r="V489" s="7"/>
      <c r="Y489" s="6"/>
      <c r="AB489" s="7"/>
      <c r="AE489" s="7"/>
      <c r="AH489" s="7"/>
      <c r="AK489" s="7"/>
    </row>
    <row r="490" spans="1:37">
      <c r="A490" s="1"/>
      <c r="B490" s="1"/>
      <c r="D490" s="7"/>
      <c r="G490" s="7"/>
      <c r="J490" s="7"/>
      <c r="M490" s="7"/>
      <c r="P490" s="7"/>
      <c r="S490" s="7"/>
      <c r="V490" s="7"/>
      <c r="Y490" s="6"/>
      <c r="AB490" s="7"/>
      <c r="AE490" s="7"/>
      <c r="AH490" s="7"/>
      <c r="AK490" s="7"/>
    </row>
    <row r="491" spans="1:37">
      <c r="A491" s="1"/>
      <c r="B491" s="1"/>
      <c r="D491" s="7"/>
      <c r="G491" s="7"/>
      <c r="J491" s="7"/>
      <c r="M491" s="7"/>
      <c r="P491" s="7"/>
      <c r="S491" s="7"/>
      <c r="V491" s="7"/>
      <c r="Y491" s="6"/>
      <c r="AB491" s="7"/>
      <c r="AE491" s="7"/>
      <c r="AH491" s="7"/>
      <c r="AK491" s="7"/>
    </row>
    <row r="492" spans="1:37">
      <c r="A492" s="1"/>
      <c r="B492" s="1"/>
      <c r="D492" s="7"/>
      <c r="G492" s="7"/>
      <c r="J492" s="7"/>
      <c r="M492" s="7"/>
      <c r="P492" s="7"/>
      <c r="S492" s="7"/>
      <c r="V492" s="7"/>
      <c r="Y492" s="6"/>
      <c r="AB492" s="7"/>
      <c r="AE492" s="7"/>
      <c r="AH492" s="7"/>
      <c r="AK492" s="7"/>
    </row>
    <row r="493" spans="1:37">
      <c r="A493" s="1"/>
      <c r="B493" s="1"/>
      <c r="D493" s="7"/>
      <c r="G493" s="7"/>
      <c r="J493" s="7"/>
      <c r="M493" s="7"/>
      <c r="P493" s="7"/>
      <c r="S493" s="7"/>
      <c r="V493" s="7"/>
      <c r="Y493" s="6"/>
      <c r="AB493" s="7"/>
      <c r="AE493" s="7"/>
      <c r="AH493" s="7"/>
      <c r="AK493" s="7"/>
    </row>
    <row r="494" spans="1:37">
      <c r="A494" s="1"/>
      <c r="B494" s="1"/>
      <c r="D494" s="7"/>
      <c r="G494" s="7"/>
      <c r="J494" s="7"/>
      <c r="M494" s="7"/>
      <c r="P494" s="7"/>
      <c r="S494" s="7"/>
      <c r="V494" s="7"/>
      <c r="Y494" s="6"/>
      <c r="AB494" s="7"/>
      <c r="AE494" s="7"/>
      <c r="AH494" s="7"/>
      <c r="AK494" s="7"/>
    </row>
    <row r="495" spans="1:37">
      <c r="A495" s="1"/>
      <c r="B495" s="1"/>
      <c r="D495" s="7"/>
      <c r="G495" s="7"/>
      <c r="J495" s="7"/>
      <c r="M495" s="7"/>
      <c r="P495" s="7"/>
      <c r="S495" s="7"/>
      <c r="V495" s="7"/>
      <c r="Y495" s="6"/>
      <c r="AB495" s="7"/>
      <c r="AE495" s="7"/>
      <c r="AH495" s="7"/>
      <c r="AK495" s="7"/>
    </row>
    <row r="496" spans="1:37">
      <c r="A496" s="1"/>
      <c r="B496" s="1"/>
      <c r="D496" s="7"/>
      <c r="G496" s="7"/>
      <c r="J496" s="7"/>
      <c r="M496" s="7"/>
      <c r="P496" s="7"/>
      <c r="S496" s="7"/>
      <c r="V496" s="7"/>
      <c r="Y496" s="6"/>
      <c r="AB496" s="7"/>
      <c r="AE496" s="7"/>
      <c r="AH496" s="7"/>
      <c r="AK496" s="7"/>
    </row>
    <row r="497" spans="1:37">
      <c r="A497" s="1"/>
      <c r="B497" s="1"/>
      <c r="D497" s="7"/>
      <c r="G497" s="7"/>
      <c r="J497" s="7"/>
      <c r="M497" s="7"/>
      <c r="P497" s="7"/>
      <c r="S497" s="7"/>
      <c r="V497" s="7"/>
      <c r="Y497" s="6"/>
      <c r="AB497" s="7"/>
      <c r="AE497" s="7"/>
      <c r="AH497" s="7"/>
      <c r="AK497" s="7"/>
    </row>
    <row r="498" spans="1:37">
      <c r="A498" s="1"/>
      <c r="B498" s="1"/>
      <c r="D498" s="7"/>
      <c r="G498" s="7"/>
      <c r="J498" s="7"/>
      <c r="M498" s="7"/>
      <c r="P498" s="7"/>
      <c r="S498" s="7"/>
      <c r="V498" s="7"/>
      <c r="Y498" s="6"/>
      <c r="AB498" s="7"/>
      <c r="AE498" s="7"/>
      <c r="AH498" s="7"/>
      <c r="AK498" s="7"/>
    </row>
    <row r="499" spans="1:37">
      <c r="A499" s="1"/>
      <c r="B499" s="1"/>
    </row>
    <row r="500" spans="1:37">
      <c r="A500" s="1"/>
      <c r="B500" s="1"/>
    </row>
    <row r="501" spans="1:37">
      <c r="A501" s="1"/>
      <c r="B501" s="1"/>
    </row>
    <row r="502" spans="1:37">
      <c r="A502" s="1"/>
      <c r="B502" s="1"/>
    </row>
    <row r="503" spans="1:37">
      <c r="A503" s="1"/>
      <c r="B503" s="1"/>
    </row>
    <row r="504" spans="1:37">
      <c r="A504" s="1"/>
      <c r="B504" s="1"/>
    </row>
    <row r="505" spans="1:37">
      <c r="A505" s="1"/>
      <c r="B505" s="1"/>
    </row>
    <row r="506" spans="1:37">
      <c r="A506" s="1"/>
      <c r="B506" s="1"/>
    </row>
    <row r="507" spans="1:37">
      <c r="A507" s="1"/>
      <c r="B507" s="1"/>
    </row>
    <row r="508" spans="1:37">
      <c r="A508" s="1"/>
      <c r="B508" s="1"/>
    </row>
    <row r="509" spans="1:37">
      <c r="A509" s="1"/>
      <c r="B509" s="1"/>
    </row>
    <row r="510" spans="1:37">
      <c r="A510" s="1"/>
      <c r="B510" s="1"/>
    </row>
    <row r="511" spans="1:37">
      <c r="A511" s="1"/>
      <c r="B511" s="1"/>
    </row>
    <row r="512" spans="1:37">
      <c r="A512" s="1"/>
      <c r="B512" s="1"/>
    </row>
    <row r="513" spans="1:2">
      <c r="A513" s="1"/>
      <c r="B513" s="1"/>
    </row>
    <row r="514" spans="1:2">
      <c r="A514" s="1"/>
      <c r="B514" s="1"/>
    </row>
    <row r="515" spans="1:2">
      <c r="A515" s="1"/>
      <c r="B515" s="1"/>
    </row>
    <row r="516" spans="1:2">
      <c r="A516" s="1"/>
      <c r="B516" s="1"/>
    </row>
    <row r="517" spans="1:2">
      <c r="A517" s="1"/>
      <c r="B517" s="1"/>
    </row>
    <row r="518" spans="1:2">
      <c r="A518" s="1"/>
      <c r="B518" s="1"/>
    </row>
    <row r="519" spans="1:2">
      <c r="A519" s="1"/>
      <c r="B519" s="1"/>
    </row>
    <row r="520" spans="1:2">
      <c r="A520" s="1"/>
      <c r="B520" s="1"/>
    </row>
    <row r="521" spans="1:2">
      <c r="A521" s="1"/>
      <c r="B521" s="1"/>
    </row>
    <row r="522" spans="1:2">
      <c r="A522" s="1"/>
      <c r="B522" s="1"/>
    </row>
    <row r="523" spans="1:2">
      <c r="A523" s="1"/>
      <c r="B523" s="1"/>
    </row>
    <row r="524" spans="1:2">
      <c r="A524" s="1"/>
      <c r="B524" s="1"/>
    </row>
    <row r="525" spans="1:2">
      <c r="A525" s="1"/>
      <c r="B525" s="1"/>
    </row>
    <row r="526" spans="1:2">
      <c r="A526" s="1"/>
      <c r="B526" s="1"/>
    </row>
    <row r="527" spans="1:2">
      <c r="A527" s="1"/>
      <c r="B527" s="1"/>
    </row>
    <row r="528" spans="1:2">
      <c r="A528" s="1"/>
      <c r="B528" s="1"/>
    </row>
    <row r="529" spans="1:2">
      <c r="A529" s="1"/>
      <c r="B529" s="1"/>
    </row>
    <row r="530" spans="1:2">
      <c r="A530" s="1"/>
      <c r="B530" s="1"/>
    </row>
    <row r="531" spans="1:2">
      <c r="A531" s="1"/>
      <c r="B531" s="1"/>
    </row>
    <row r="532" spans="1:2">
      <c r="A532" s="1"/>
      <c r="B532" s="1"/>
    </row>
    <row r="533" spans="1:2">
      <c r="A533" s="1"/>
      <c r="B533" s="1"/>
    </row>
    <row r="534" spans="1:2">
      <c r="A534" s="1"/>
      <c r="B534" s="1"/>
    </row>
    <row r="535" spans="1:2">
      <c r="A535" s="1"/>
      <c r="B535" s="1"/>
    </row>
    <row r="536" spans="1:2">
      <c r="A536" s="1"/>
      <c r="B536" s="1"/>
    </row>
    <row r="537" spans="1:2">
      <c r="A537" s="1"/>
      <c r="B537" s="1"/>
    </row>
    <row r="538" spans="1:2">
      <c r="A538" s="1"/>
      <c r="B538" s="1"/>
    </row>
    <row r="539" spans="1:2">
      <c r="A539" s="1"/>
      <c r="B539" s="1"/>
    </row>
    <row r="540" spans="1:2">
      <c r="A540" s="1"/>
      <c r="B540" s="1"/>
    </row>
    <row r="541" spans="1:2">
      <c r="A541" s="1"/>
      <c r="B541" s="1"/>
    </row>
    <row r="542" spans="1:2">
      <c r="A542" s="1"/>
      <c r="B542" s="1"/>
    </row>
    <row r="543" spans="1:2">
      <c r="A543" s="1"/>
      <c r="B543" s="1"/>
    </row>
    <row r="544" spans="1:2">
      <c r="A544" s="1"/>
      <c r="B544" s="1"/>
    </row>
    <row r="545" spans="1:2">
      <c r="A545" s="1"/>
      <c r="B545" s="1"/>
    </row>
    <row r="546" spans="1:2">
      <c r="A546" s="1"/>
      <c r="B546" s="1"/>
    </row>
    <row r="547" spans="1:2">
      <c r="A547" s="1"/>
      <c r="B547" s="1"/>
    </row>
    <row r="548" spans="1:2">
      <c r="A548" s="1"/>
      <c r="B548" s="1"/>
    </row>
    <row r="549" spans="1:2">
      <c r="A549" s="1"/>
      <c r="B549" s="1"/>
    </row>
    <row r="550" spans="1:2">
      <c r="A550" s="1"/>
      <c r="B550" s="1"/>
    </row>
    <row r="551" spans="1:2">
      <c r="A551" s="1"/>
      <c r="B551" s="1"/>
    </row>
    <row r="552" spans="1:2">
      <c r="A552" s="1"/>
      <c r="B552" s="1"/>
    </row>
    <row r="553" spans="1:2">
      <c r="A553" s="1"/>
      <c r="B553" s="1"/>
    </row>
    <row r="554" spans="1:2">
      <c r="A554" s="1"/>
      <c r="B554" s="1"/>
    </row>
    <row r="555" spans="1:2">
      <c r="A555" s="1"/>
      <c r="B555" s="1"/>
    </row>
    <row r="556" spans="1:2">
      <c r="A556" s="1"/>
      <c r="B556" s="1"/>
    </row>
    <row r="557" spans="1:2">
      <c r="A557" s="1"/>
      <c r="B557" s="1"/>
    </row>
    <row r="558" spans="1:2">
      <c r="A558" s="1"/>
      <c r="B558" s="1"/>
    </row>
    <row r="559" spans="1:2">
      <c r="A559" s="1"/>
      <c r="B559" s="1"/>
    </row>
    <row r="560" spans="1:2">
      <c r="A560" s="1"/>
      <c r="B560" s="1"/>
    </row>
    <row r="561" spans="1:2">
      <c r="A561" s="1"/>
      <c r="B561" s="1"/>
    </row>
    <row r="562" spans="1:2">
      <c r="A562" s="1"/>
      <c r="B562" s="1"/>
    </row>
    <row r="563" spans="1:2">
      <c r="A563" s="1"/>
      <c r="B563" s="1"/>
    </row>
    <row r="564" spans="1:2">
      <c r="A564" s="1"/>
      <c r="B564" s="1"/>
    </row>
    <row r="565" spans="1:2">
      <c r="A565" s="1"/>
      <c r="B565" s="1"/>
    </row>
    <row r="566" spans="1:2">
      <c r="A566" s="1"/>
      <c r="B566" s="1"/>
    </row>
    <row r="567" spans="1:2">
      <c r="A567" s="1"/>
      <c r="B567" s="1"/>
    </row>
    <row r="568" spans="1:2">
      <c r="A568" s="1"/>
      <c r="B568" s="1"/>
    </row>
    <row r="569" spans="1:2">
      <c r="A569" s="1"/>
      <c r="B569" s="1"/>
    </row>
    <row r="570" spans="1:2">
      <c r="A570" s="1"/>
      <c r="B570" s="1"/>
    </row>
    <row r="571" spans="1:2">
      <c r="A571" s="1"/>
      <c r="B571" s="1"/>
    </row>
    <row r="572" spans="1:2">
      <c r="A572" s="1"/>
      <c r="B572" s="1"/>
    </row>
    <row r="573" spans="1:2">
      <c r="A573" s="1"/>
      <c r="B573" s="1"/>
    </row>
    <row r="574" spans="1:2">
      <c r="A574" s="1"/>
      <c r="B574" s="1"/>
    </row>
    <row r="575" spans="1:2">
      <c r="A575" s="1"/>
      <c r="B575" s="1"/>
    </row>
    <row r="576" spans="1:2">
      <c r="A576" s="1"/>
      <c r="B576" s="1"/>
    </row>
    <row r="577" spans="1:2">
      <c r="A577" s="1"/>
      <c r="B577" s="1"/>
    </row>
    <row r="578" spans="1:2">
      <c r="A578" s="1"/>
      <c r="B578" s="1"/>
    </row>
    <row r="579" spans="1:2">
      <c r="A579" s="1"/>
      <c r="B579" s="1"/>
    </row>
    <row r="580" spans="1:2">
      <c r="A580" s="1"/>
      <c r="B580" s="1"/>
    </row>
    <row r="581" spans="1:2">
      <c r="A581" s="1"/>
      <c r="B581" s="1"/>
    </row>
    <row r="582" spans="1:2">
      <c r="A582" s="1"/>
      <c r="B582" s="1"/>
    </row>
    <row r="583" spans="1:2">
      <c r="A583" s="1"/>
      <c r="B583" s="1"/>
    </row>
    <row r="584" spans="1:2">
      <c r="A584" s="1"/>
      <c r="B584" s="1"/>
    </row>
    <row r="585" spans="1:2">
      <c r="A585" s="1"/>
      <c r="B585" s="1"/>
    </row>
    <row r="586" spans="1:2">
      <c r="A586" s="1"/>
      <c r="B586" s="1"/>
    </row>
    <row r="587" spans="1:2">
      <c r="A587" s="1"/>
      <c r="B587" s="1"/>
    </row>
    <row r="588" spans="1:2">
      <c r="A588" s="1"/>
      <c r="B588" s="1"/>
    </row>
    <row r="589" spans="1:2">
      <c r="A589" s="1"/>
      <c r="B589" s="1"/>
    </row>
    <row r="590" spans="1:2">
      <c r="A590" s="1"/>
      <c r="B590" s="1"/>
    </row>
    <row r="591" spans="1:2">
      <c r="A591" s="1"/>
      <c r="B591" s="1"/>
    </row>
    <row r="592" spans="1:2">
      <c r="A592" s="1"/>
      <c r="B592" s="1"/>
    </row>
    <row r="593" spans="1:2">
      <c r="A593" s="1"/>
      <c r="B593" s="1"/>
    </row>
    <row r="594" spans="1:2">
      <c r="A594" s="1"/>
      <c r="B594" s="1"/>
    </row>
    <row r="595" spans="1:2">
      <c r="A595" s="1"/>
      <c r="B595" s="1"/>
    </row>
    <row r="596" spans="1:2">
      <c r="A596" s="1"/>
      <c r="B596" s="1"/>
    </row>
    <row r="597" spans="1:2">
      <c r="A597" s="1"/>
      <c r="B597" s="1"/>
    </row>
    <row r="598" spans="1:2">
      <c r="A598" s="1"/>
      <c r="B598" s="1"/>
    </row>
    <row r="599" spans="1:2">
      <c r="A599" s="1"/>
      <c r="B599" s="1"/>
    </row>
    <row r="600" spans="1:2">
      <c r="A600" s="1"/>
      <c r="B600" s="1"/>
    </row>
    <row r="601" spans="1:2">
      <c r="A601" s="1"/>
      <c r="B601" s="1"/>
    </row>
    <row r="602" spans="1:2">
      <c r="A602" s="1"/>
      <c r="B602" s="1"/>
    </row>
    <row r="603" spans="1:2">
      <c r="A603" s="1"/>
      <c r="B603" s="1"/>
    </row>
    <row r="604" spans="1:2">
      <c r="A604" s="1"/>
      <c r="B604" s="1"/>
    </row>
    <row r="605" spans="1:2">
      <c r="A605" s="1"/>
      <c r="B605" s="1"/>
    </row>
    <row r="606" spans="1:2">
      <c r="A606" s="1"/>
      <c r="B606" s="1"/>
    </row>
    <row r="607" spans="1:2">
      <c r="A607" s="1"/>
      <c r="B607" s="1"/>
    </row>
    <row r="608" spans="1:2">
      <c r="A608" s="1"/>
      <c r="B608" s="1"/>
    </row>
    <row r="609" spans="1:2">
      <c r="A609" s="1"/>
      <c r="B609" s="1"/>
    </row>
    <row r="610" spans="1:2">
      <c r="A610" s="1"/>
      <c r="B610" s="1"/>
    </row>
    <row r="611" spans="1:2">
      <c r="A611" s="1"/>
      <c r="B611" s="1"/>
    </row>
    <row r="612" spans="1:2">
      <c r="A612" s="1"/>
      <c r="B612" s="1"/>
    </row>
    <row r="613" spans="1:2">
      <c r="A613" s="1"/>
      <c r="B613" s="1"/>
    </row>
    <row r="614" spans="1:2">
      <c r="A614" s="1"/>
      <c r="B614" s="1"/>
    </row>
    <row r="615" spans="1:2">
      <c r="A615" s="1"/>
      <c r="B615" s="1"/>
    </row>
    <row r="616" spans="1:2">
      <c r="A616" s="1"/>
      <c r="B616" s="1"/>
    </row>
    <row r="617" spans="1:2">
      <c r="A617" s="1"/>
      <c r="B617" s="1"/>
    </row>
    <row r="618" spans="1:2">
      <c r="A618" s="1"/>
      <c r="B618" s="1"/>
    </row>
    <row r="619" spans="1:2">
      <c r="A619" s="1"/>
      <c r="B619" s="1"/>
    </row>
    <row r="620" spans="1:2">
      <c r="A620" s="1"/>
      <c r="B620" s="1"/>
    </row>
    <row r="621" spans="1:2">
      <c r="A621" s="1"/>
      <c r="B621" s="1"/>
    </row>
    <row r="622" spans="1:2">
      <c r="A622" s="1"/>
      <c r="B622" s="1"/>
    </row>
    <row r="623" spans="1:2">
      <c r="A623" s="1"/>
      <c r="B623" s="1"/>
    </row>
    <row r="624" spans="1:2">
      <c r="A624" s="1"/>
      <c r="B624" s="1"/>
    </row>
    <row r="625" spans="1:2">
      <c r="A625" s="1"/>
      <c r="B625" s="1"/>
    </row>
    <row r="626" spans="1:2">
      <c r="A626" s="1"/>
      <c r="B626" s="1"/>
    </row>
    <row r="627" spans="1:2">
      <c r="A627" s="1"/>
      <c r="B627" s="1"/>
    </row>
    <row r="628" spans="1:2">
      <c r="A628" s="1"/>
      <c r="B628" s="1"/>
    </row>
    <row r="629" spans="1:2">
      <c r="A629" s="1"/>
      <c r="B629" s="1"/>
    </row>
    <row r="630" spans="1:2">
      <c r="A630" s="1"/>
      <c r="B630" s="1"/>
    </row>
    <row r="631" spans="1:2">
      <c r="A631" s="1"/>
      <c r="B631" s="1"/>
    </row>
    <row r="632" spans="1:2">
      <c r="A632" s="1"/>
      <c r="B632" s="1"/>
    </row>
    <row r="633" spans="1:2">
      <c r="A633" s="1"/>
      <c r="B633" s="1"/>
    </row>
    <row r="634" spans="1:2">
      <c r="A634" s="1"/>
      <c r="B634" s="1"/>
    </row>
    <row r="635" spans="1:2">
      <c r="A635" s="1"/>
      <c r="B635" s="1"/>
    </row>
    <row r="636" spans="1:2">
      <c r="A636" s="1"/>
      <c r="B636" s="1"/>
    </row>
    <row r="637" spans="1:2">
      <c r="A637" s="1"/>
      <c r="B637" s="1"/>
    </row>
    <row r="638" spans="1:2">
      <c r="A638" s="1"/>
      <c r="B638" s="1"/>
    </row>
    <row r="639" spans="1:2">
      <c r="A639" s="1"/>
      <c r="B639" s="1"/>
    </row>
    <row r="640" spans="1:2">
      <c r="A640" s="1"/>
      <c r="B640" s="1"/>
    </row>
    <row r="641" spans="1:2">
      <c r="A641" s="1"/>
      <c r="B641" s="1"/>
    </row>
    <row r="642" spans="1:2">
      <c r="A642" s="1"/>
      <c r="B642" s="1"/>
    </row>
    <row r="643" spans="1:2">
      <c r="A643" s="1"/>
      <c r="B643" s="1"/>
    </row>
    <row r="644" spans="1:2">
      <c r="A644" s="1"/>
      <c r="B644" s="1"/>
    </row>
    <row r="645" spans="1:2">
      <c r="A645" s="1"/>
      <c r="B645" s="1"/>
    </row>
    <row r="646" spans="1:2">
      <c r="A646" s="1"/>
      <c r="B646" s="1"/>
    </row>
    <row r="647" spans="1:2">
      <c r="A647" s="1"/>
      <c r="B647" s="1"/>
    </row>
    <row r="648" spans="1:2">
      <c r="A648" s="1"/>
      <c r="B648" s="1"/>
    </row>
    <row r="649" spans="1:2">
      <c r="A649" s="1"/>
      <c r="B649" s="1"/>
    </row>
    <row r="650" spans="1:2">
      <c r="A650" s="1"/>
      <c r="B650" s="1"/>
    </row>
    <row r="651" spans="1:2">
      <c r="A651" s="1"/>
      <c r="B651" s="1"/>
    </row>
    <row r="652" spans="1:2">
      <c r="A652" s="1"/>
      <c r="B652" s="1"/>
    </row>
    <row r="653" spans="1:2">
      <c r="A653" s="1"/>
      <c r="B653" s="1"/>
    </row>
    <row r="654" spans="1:2">
      <c r="A654" s="1"/>
      <c r="B654" s="1"/>
    </row>
    <row r="655" spans="1:2">
      <c r="A655" s="1"/>
      <c r="B655" s="1"/>
    </row>
    <row r="656" spans="1:2">
      <c r="A656" s="1"/>
      <c r="B656" s="1"/>
    </row>
    <row r="657" spans="1:2">
      <c r="A657" s="1"/>
      <c r="B657" s="1"/>
    </row>
    <row r="658" spans="1:2">
      <c r="A658" s="1"/>
      <c r="B658" s="1"/>
    </row>
    <row r="659" spans="1:2">
      <c r="A659" s="1"/>
      <c r="B659" s="1"/>
    </row>
    <row r="660" spans="1:2">
      <c r="A660" s="1"/>
      <c r="B660" s="1"/>
    </row>
    <row r="661" spans="1:2">
      <c r="A661" s="1"/>
      <c r="B661" s="1"/>
    </row>
    <row r="662" spans="1:2">
      <c r="A662" s="1"/>
      <c r="B662" s="1"/>
    </row>
    <row r="663" spans="1:2">
      <c r="A663" s="1"/>
      <c r="B663" s="1"/>
    </row>
    <row r="664" spans="1:2">
      <c r="A664" s="1"/>
      <c r="B664" s="1"/>
    </row>
    <row r="665" spans="1:2">
      <c r="A665" s="1"/>
      <c r="B665" s="1"/>
    </row>
    <row r="666" spans="1:2">
      <c r="A666" s="1"/>
      <c r="B666" s="1"/>
    </row>
    <row r="667" spans="1:2">
      <c r="A667" s="1"/>
      <c r="B667" s="1"/>
    </row>
    <row r="668" spans="1:2">
      <c r="A668" s="1"/>
      <c r="B668" s="1"/>
    </row>
    <row r="669" spans="1:2">
      <c r="A669" s="1"/>
      <c r="B669" s="1"/>
    </row>
    <row r="670" spans="1:2">
      <c r="A670" s="1"/>
      <c r="B670" s="1"/>
    </row>
    <row r="671" spans="1:2">
      <c r="A671" s="1"/>
      <c r="B671" s="1"/>
    </row>
    <row r="672" spans="1:2">
      <c r="A672" s="1"/>
      <c r="B672" s="1"/>
    </row>
    <row r="673" spans="1:2">
      <c r="A673" s="1"/>
      <c r="B673" s="1"/>
    </row>
    <row r="674" spans="1:2">
      <c r="A674" s="1"/>
      <c r="B674" s="1"/>
    </row>
    <row r="675" spans="1:2">
      <c r="A675" s="1"/>
      <c r="B675" s="1"/>
    </row>
    <row r="676" spans="1:2">
      <c r="A676" s="1"/>
      <c r="B676" s="1"/>
    </row>
    <row r="677" spans="1:2">
      <c r="A677" s="1"/>
      <c r="B677" s="1"/>
    </row>
    <row r="678" spans="1:2">
      <c r="A678" s="1"/>
      <c r="B678" s="1"/>
    </row>
    <row r="679" spans="1:2">
      <c r="A679" s="1"/>
      <c r="B679" s="1"/>
    </row>
    <row r="680" spans="1:2">
      <c r="A680" s="1"/>
      <c r="B680" s="1"/>
    </row>
    <row r="681" spans="1:2">
      <c r="A681" s="1"/>
      <c r="B681" s="1"/>
    </row>
    <row r="682" spans="1:2">
      <c r="A682" s="1"/>
      <c r="B682" s="1"/>
    </row>
    <row r="683" spans="1:2">
      <c r="A683" s="1"/>
      <c r="B683" s="1"/>
    </row>
    <row r="684" spans="1:2">
      <c r="A684" s="1"/>
      <c r="B684" s="1"/>
    </row>
    <row r="685" spans="1:2">
      <c r="A685" s="1"/>
      <c r="B685" s="1"/>
    </row>
    <row r="686" spans="1:2">
      <c r="A686" s="1"/>
      <c r="B686" s="1"/>
    </row>
    <row r="687" spans="1:2">
      <c r="A687" s="1"/>
      <c r="B687" s="1"/>
    </row>
    <row r="688" spans="1:2">
      <c r="A688" s="1"/>
      <c r="B688" s="1"/>
    </row>
    <row r="689" spans="1:2">
      <c r="A689" s="1"/>
      <c r="B689" s="1"/>
    </row>
    <row r="690" spans="1:2">
      <c r="A690" s="1"/>
      <c r="B690" s="1"/>
    </row>
    <row r="691" spans="1:2">
      <c r="A691" s="1"/>
      <c r="B691" s="1"/>
    </row>
    <row r="692" spans="1:2">
      <c r="A692" s="1"/>
      <c r="B692" s="1"/>
    </row>
    <row r="693" spans="1:2">
      <c r="A693" s="1"/>
      <c r="B693" s="1"/>
    </row>
    <row r="694" spans="1:2">
      <c r="A694" s="1"/>
      <c r="B694" s="1"/>
    </row>
    <row r="695" spans="1:2">
      <c r="A695" s="1"/>
      <c r="B695" s="1"/>
    </row>
    <row r="696" spans="1:2">
      <c r="A696" s="1"/>
      <c r="B696" s="1"/>
    </row>
    <row r="697" spans="1:2">
      <c r="A697" s="1"/>
      <c r="B697" s="1"/>
    </row>
    <row r="698" spans="1:2">
      <c r="A698" s="1"/>
      <c r="B698" s="1"/>
    </row>
    <row r="699" spans="1:2">
      <c r="A699" s="1"/>
      <c r="B699" s="1"/>
    </row>
    <row r="700" spans="1:2">
      <c r="A700" s="1"/>
      <c r="B700" s="1"/>
    </row>
    <row r="701" spans="1:2">
      <c r="A701" s="1"/>
      <c r="B701" s="1"/>
    </row>
    <row r="702" spans="1:2">
      <c r="A702" s="1"/>
      <c r="B702" s="1"/>
    </row>
    <row r="703" spans="1:2">
      <c r="A703" s="1"/>
      <c r="B703" s="1"/>
    </row>
    <row r="704" spans="1:2">
      <c r="A704" s="1"/>
      <c r="B704" s="1"/>
    </row>
    <row r="705" spans="1:2">
      <c r="A705" s="1"/>
      <c r="B705" s="1"/>
    </row>
    <row r="706" spans="1:2">
      <c r="A706" s="1"/>
      <c r="B706" s="1"/>
    </row>
    <row r="707" spans="1:2">
      <c r="A707" s="1"/>
      <c r="B707" s="1"/>
    </row>
    <row r="708" spans="1:2">
      <c r="A708" s="1"/>
      <c r="B708" s="1"/>
    </row>
    <row r="709" spans="1:2">
      <c r="A709" s="1"/>
      <c r="B709" s="1"/>
    </row>
    <row r="710" spans="1:2">
      <c r="A710" s="1"/>
      <c r="B710" s="1"/>
    </row>
    <row r="711" spans="1:2">
      <c r="A711" s="1"/>
      <c r="B711" s="1"/>
    </row>
    <row r="712" spans="1:2">
      <c r="A712" s="1"/>
      <c r="B712" s="1"/>
    </row>
    <row r="713" spans="1:2">
      <c r="A713" s="1"/>
      <c r="B713" s="1"/>
    </row>
    <row r="714" spans="1:2">
      <c r="A714" s="1"/>
      <c r="B714" s="1"/>
    </row>
    <row r="715" spans="1:2">
      <c r="A715" s="1"/>
      <c r="B715" s="1"/>
    </row>
    <row r="716" spans="1:2">
      <c r="A716" s="1"/>
      <c r="B716" s="1"/>
    </row>
    <row r="717" spans="1:2">
      <c r="A717" s="1"/>
      <c r="B717" s="1"/>
    </row>
    <row r="718" spans="1:2">
      <c r="A718" s="1"/>
      <c r="B718" s="1"/>
    </row>
    <row r="719" spans="1:2">
      <c r="A719" s="1"/>
      <c r="B719" s="1"/>
    </row>
    <row r="720" spans="1:2">
      <c r="A720" s="1"/>
      <c r="B720" s="1"/>
    </row>
    <row r="721" spans="1:2">
      <c r="A721" s="1"/>
      <c r="B721" s="1"/>
    </row>
    <row r="722" spans="1:2">
      <c r="A722" s="1"/>
      <c r="B722" s="1"/>
    </row>
    <row r="723" spans="1:2">
      <c r="A723" s="1"/>
      <c r="B723" s="1"/>
    </row>
    <row r="724" spans="1:2">
      <c r="A724" s="1"/>
      <c r="B724" s="1"/>
    </row>
    <row r="725" spans="1:2">
      <c r="A725" s="1"/>
      <c r="B725" s="1"/>
    </row>
    <row r="726" spans="1:2">
      <c r="A726" s="1"/>
      <c r="B726" s="1"/>
    </row>
    <row r="727" spans="1:2">
      <c r="A727" s="1"/>
      <c r="B727" s="1"/>
    </row>
    <row r="728" spans="1:2">
      <c r="A728" s="1"/>
      <c r="B728" s="1"/>
    </row>
    <row r="729" spans="1:2">
      <c r="A729" s="1"/>
      <c r="B729" s="1"/>
    </row>
    <row r="730" spans="1:2">
      <c r="A730" s="1"/>
      <c r="B730" s="1"/>
    </row>
    <row r="731" spans="1:2">
      <c r="A731" s="1"/>
      <c r="B731" s="1"/>
    </row>
    <row r="732" spans="1:2">
      <c r="A732" s="1"/>
      <c r="B732" s="1"/>
    </row>
    <row r="733" spans="1:2">
      <c r="A733" s="1"/>
      <c r="B733" s="1"/>
    </row>
    <row r="734" spans="1:2">
      <c r="A734" s="1"/>
      <c r="B734" s="1"/>
    </row>
    <row r="735" spans="1:2">
      <c r="A735" s="1"/>
      <c r="B735" s="1"/>
    </row>
    <row r="736" spans="1:2">
      <c r="A736" s="1"/>
      <c r="B736" s="1"/>
    </row>
    <row r="737" spans="1:2">
      <c r="A737" s="1"/>
      <c r="B737" s="1"/>
    </row>
    <row r="738" spans="1:2">
      <c r="A738" s="1"/>
      <c r="B738" s="1"/>
    </row>
    <row r="739" spans="1:2">
      <c r="A739" s="1"/>
      <c r="B739" s="1"/>
    </row>
    <row r="740" spans="1:2">
      <c r="A740" s="1"/>
      <c r="B740" s="1"/>
    </row>
    <row r="741" spans="1:2">
      <c r="A741" s="1"/>
      <c r="B741" s="1"/>
    </row>
    <row r="742" spans="1:2">
      <c r="A742" s="1"/>
      <c r="B742" s="1"/>
    </row>
    <row r="743" spans="1:2">
      <c r="A743" s="1"/>
      <c r="B743" s="1"/>
    </row>
    <row r="744" spans="1:2">
      <c r="A744" s="1"/>
      <c r="B744" s="1"/>
    </row>
    <row r="745" spans="1:2">
      <c r="A745" s="1"/>
      <c r="B745" s="1"/>
    </row>
    <row r="746" spans="1:2">
      <c r="A746" s="1"/>
      <c r="B746" s="1"/>
    </row>
    <row r="747" spans="1:2">
      <c r="A747" s="1"/>
      <c r="B747" s="1"/>
    </row>
    <row r="748" spans="1:2">
      <c r="A748" s="1"/>
      <c r="B748" s="1"/>
    </row>
    <row r="749" spans="1:2">
      <c r="A749" s="1"/>
      <c r="B749" s="1"/>
    </row>
    <row r="750" spans="1:2">
      <c r="A750" s="1"/>
      <c r="B750" s="1"/>
    </row>
    <row r="751" spans="1:2">
      <c r="A751" s="1"/>
      <c r="B751" s="1"/>
    </row>
    <row r="752" spans="1:2">
      <c r="A752" s="1"/>
      <c r="B752" s="1"/>
    </row>
    <row r="753" spans="1:2">
      <c r="A753" s="1"/>
      <c r="B753" s="1"/>
    </row>
    <row r="754" spans="1:2">
      <c r="A754" s="1"/>
      <c r="B754" s="1"/>
    </row>
    <row r="755" spans="1:2">
      <c r="A755" s="1"/>
      <c r="B755" s="1"/>
    </row>
    <row r="756" spans="1:2">
      <c r="A756" s="1"/>
      <c r="B756" s="1"/>
    </row>
    <row r="757" spans="1:2">
      <c r="A757" s="1"/>
      <c r="B757" s="1"/>
    </row>
    <row r="758" spans="1:2">
      <c r="A758" s="1"/>
      <c r="B758" s="1"/>
    </row>
    <row r="759" spans="1:2">
      <c r="A759" s="1"/>
      <c r="B759" s="1"/>
    </row>
    <row r="760" spans="1:2">
      <c r="A760" s="1"/>
      <c r="B760" s="1"/>
    </row>
    <row r="761" spans="1:2">
      <c r="A761" s="1"/>
      <c r="B761" s="1"/>
    </row>
    <row r="762" spans="1:2">
      <c r="A762" s="1"/>
      <c r="B762" s="1"/>
    </row>
    <row r="763" spans="1:2">
      <c r="A763" s="1"/>
      <c r="B763" s="1"/>
    </row>
    <row r="764" spans="1:2">
      <c r="A764" s="1"/>
      <c r="B764" s="1"/>
    </row>
    <row r="765" spans="1:2">
      <c r="A765" s="1"/>
      <c r="B765" s="1"/>
    </row>
    <row r="766" spans="1:2">
      <c r="A766" s="1"/>
      <c r="B766" s="1"/>
    </row>
    <row r="767" spans="1:2">
      <c r="A767" s="1"/>
      <c r="B767" s="1"/>
    </row>
    <row r="768" spans="1:2">
      <c r="A768" s="1"/>
      <c r="B768" s="1"/>
    </row>
    <row r="769" spans="1:2">
      <c r="A769" s="1"/>
      <c r="B769" s="1"/>
    </row>
    <row r="770" spans="1:2">
      <c r="A770" s="1"/>
      <c r="B770" s="1"/>
    </row>
    <row r="771" spans="1:2">
      <c r="A771" s="1"/>
      <c r="B771" s="1"/>
    </row>
    <row r="772" spans="1:2">
      <c r="A772" s="1"/>
      <c r="B772" s="1"/>
    </row>
    <row r="773" spans="1:2">
      <c r="A773" s="1"/>
      <c r="B773" s="1"/>
    </row>
    <row r="774" spans="1:2">
      <c r="A774" s="1"/>
      <c r="B774" s="1"/>
    </row>
    <row r="775" spans="1:2">
      <c r="A775" s="1"/>
      <c r="B775" s="1"/>
    </row>
    <row r="776" spans="1:2">
      <c r="A776" s="1"/>
      <c r="B776" s="1"/>
    </row>
    <row r="777" spans="1:2">
      <c r="A777" s="1"/>
      <c r="B777" s="1"/>
    </row>
    <row r="778" spans="1:2">
      <c r="A778" s="1"/>
      <c r="B778" s="1"/>
    </row>
    <row r="779" spans="1:2">
      <c r="A779" s="1"/>
      <c r="B779" s="1"/>
    </row>
    <row r="780" spans="1:2">
      <c r="A780" s="1"/>
      <c r="B780" s="1"/>
    </row>
    <row r="781" spans="1:2">
      <c r="A781" s="1"/>
      <c r="B781" s="1"/>
    </row>
    <row r="782" spans="1:2">
      <c r="A782" s="1"/>
      <c r="B782" s="1"/>
    </row>
    <row r="783" spans="1:2">
      <c r="A783" s="1"/>
      <c r="B783" s="1"/>
    </row>
    <row r="784" spans="1:2">
      <c r="A784" s="1"/>
      <c r="B784" s="1"/>
    </row>
    <row r="785" spans="1:2">
      <c r="A785" s="1"/>
      <c r="B785" s="1"/>
    </row>
    <row r="786" spans="1:2">
      <c r="A786" s="1"/>
      <c r="B786" s="1"/>
    </row>
    <row r="787" spans="1:2">
      <c r="A787" s="1"/>
      <c r="B787" s="1"/>
    </row>
    <row r="788" spans="1:2">
      <c r="A788" s="1"/>
      <c r="B788" s="1"/>
    </row>
    <row r="789" spans="1:2">
      <c r="A789" s="1"/>
      <c r="B789" s="1"/>
    </row>
    <row r="790" spans="1:2">
      <c r="A790" s="1"/>
      <c r="B790" s="1"/>
    </row>
    <row r="791" spans="1:2">
      <c r="A791" s="1"/>
      <c r="B791" s="1"/>
    </row>
    <row r="792" spans="1:2">
      <c r="A792" s="1"/>
      <c r="B792" s="1"/>
    </row>
    <row r="793" spans="1:2">
      <c r="A793" s="1"/>
      <c r="B793" s="1"/>
    </row>
    <row r="794" spans="1:2">
      <c r="A794" s="1"/>
      <c r="B794" s="1"/>
    </row>
    <row r="795" spans="1:2">
      <c r="A795" s="1"/>
      <c r="B795" s="1"/>
    </row>
    <row r="796" spans="1:2">
      <c r="A796" s="1"/>
      <c r="B796" s="1"/>
    </row>
    <row r="797" spans="1:2">
      <c r="A797" s="1"/>
      <c r="B797" s="1"/>
    </row>
    <row r="798" spans="1:2">
      <c r="A798" s="1"/>
      <c r="B798" s="1"/>
    </row>
    <row r="799" spans="1:2">
      <c r="A799" s="1"/>
      <c r="B799" s="1"/>
    </row>
    <row r="800" spans="1:2">
      <c r="A800" s="1"/>
      <c r="B800" s="1"/>
    </row>
    <row r="801" spans="1:2">
      <c r="A801" s="1"/>
      <c r="B801" s="1"/>
    </row>
    <row r="802" spans="1:2">
      <c r="A802" s="1"/>
      <c r="B802" s="1"/>
    </row>
    <row r="803" spans="1:2">
      <c r="A803" s="1"/>
      <c r="B803" s="1"/>
    </row>
    <row r="804" spans="1:2">
      <c r="A804" s="1"/>
      <c r="B804" s="1"/>
    </row>
    <row r="805" spans="1:2">
      <c r="A805" s="1"/>
      <c r="B805" s="1"/>
    </row>
    <row r="806" spans="1:2">
      <c r="A806" s="1"/>
      <c r="B806" s="1"/>
    </row>
    <row r="807" spans="1:2">
      <c r="A807" s="1"/>
      <c r="B807" s="1"/>
    </row>
    <row r="808" spans="1:2">
      <c r="A808" s="1"/>
      <c r="B808" s="1"/>
    </row>
    <row r="809" spans="1:2">
      <c r="A809" s="1"/>
      <c r="B809" s="1"/>
    </row>
    <row r="810" spans="1:2">
      <c r="A810" s="1"/>
      <c r="B810" s="1"/>
    </row>
    <row r="811" spans="1:2">
      <c r="A811" s="1"/>
      <c r="B811" s="1"/>
    </row>
    <row r="812" spans="1:2">
      <c r="A812" s="1"/>
      <c r="B812" s="1"/>
    </row>
    <row r="813" spans="1:2">
      <c r="A813" s="1"/>
      <c r="B813" s="1"/>
    </row>
    <row r="814" spans="1:2">
      <c r="A814" s="1"/>
      <c r="B814" s="1"/>
    </row>
    <row r="815" spans="1:2">
      <c r="A815" s="1"/>
      <c r="B815" s="1"/>
    </row>
    <row r="816" spans="1:2">
      <c r="A816" s="1"/>
      <c r="B816" s="1"/>
    </row>
    <row r="817" spans="1:2">
      <c r="A817" s="1"/>
      <c r="B817" s="1"/>
    </row>
    <row r="818" spans="1:2">
      <c r="A818" s="1"/>
      <c r="B818" s="1"/>
    </row>
    <row r="819" spans="1:2">
      <c r="A819" s="1"/>
      <c r="B819" s="1"/>
    </row>
    <row r="820" spans="1:2">
      <c r="A820" s="1"/>
      <c r="B820" s="1"/>
    </row>
    <row r="821" spans="1:2">
      <c r="A821" s="1"/>
      <c r="B821" s="1"/>
    </row>
    <row r="822" spans="1:2">
      <c r="A822" s="1"/>
      <c r="B822" s="1"/>
    </row>
    <row r="823" spans="1:2">
      <c r="A823" s="1"/>
      <c r="B823" s="1"/>
    </row>
    <row r="824" spans="1:2">
      <c r="A824" s="1"/>
      <c r="B824" s="1"/>
    </row>
    <row r="825" spans="1:2">
      <c r="A825" s="1"/>
      <c r="B825" s="1"/>
    </row>
    <row r="826" spans="1:2">
      <c r="A826" s="1"/>
      <c r="B826" s="1"/>
    </row>
    <row r="827" spans="1:2">
      <c r="A827" s="1"/>
      <c r="B827" s="1"/>
    </row>
    <row r="828" spans="1:2">
      <c r="A828" s="1"/>
      <c r="B828" s="1"/>
    </row>
    <row r="829" spans="1:2">
      <c r="A829" s="1"/>
      <c r="B829" s="1"/>
    </row>
    <row r="830" spans="1:2">
      <c r="A830" s="1"/>
      <c r="B830" s="1"/>
    </row>
    <row r="831" spans="1:2">
      <c r="A831" s="1"/>
      <c r="B831" s="1"/>
    </row>
    <row r="832" spans="1:2">
      <c r="A832" s="1"/>
      <c r="B832" s="1"/>
    </row>
    <row r="833" spans="1:2">
      <c r="A833" s="1"/>
      <c r="B833" s="1"/>
    </row>
    <row r="834" spans="1:2">
      <c r="A834" s="1"/>
      <c r="B834" s="1"/>
    </row>
    <row r="835" spans="1:2">
      <c r="A835" s="1"/>
      <c r="B835" s="1"/>
    </row>
    <row r="836" spans="1:2">
      <c r="A836" s="1"/>
      <c r="B836" s="1"/>
    </row>
    <row r="837" spans="1:2">
      <c r="A837" s="1"/>
      <c r="B837" s="1"/>
    </row>
    <row r="838" spans="1:2">
      <c r="A838" s="1"/>
      <c r="B838" s="1"/>
    </row>
    <row r="839" spans="1:2">
      <c r="A839" s="1"/>
      <c r="B839" s="1"/>
    </row>
    <row r="840" spans="1:2">
      <c r="A840" s="1"/>
      <c r="B840" s="1"/>
    </row>
    <row r="841" spans="1:2">
      <c r="A841" s="1"/>
      <c r="B841" s="1"/>
    </row>
    <row r="842" spans="1:2">
      <c r="A842" s="1"/>
      <c r="B842" s="1"/>
    </row>
    <row r="843" spans="1:2">
      <c r="A843" s="1"/>
      <c r="B843" s="1"/>
    </row>
    <row r="844" spans="1:2">
      <c r="A844" s="1"/>
      <c r="B844" s="1"/>
    </row>
    <row r="845" spans="1:2">
      <c r="A845" s="1"/>
      <c r="B845" s="1"/>
    </row>
    <row r="846" spans="1:2">
      <c r="A846" s="1"/>
      <c r="B846" s="1"/>
    </row>
    <row r="847" spans="1:2">
      <c r="A847" s="1"/>
      <c r="B847" s="1"/>
    </row>
    <row r="848" spans="1:2">
      <c r="A848" s="1"/>
      <c r="B848" s="1"/>
    </row>
    <row r="849" spans="1:2">
      <c r="A849" s="1"/>
      <c r="B849" s="1"/>
    </row>
    <row r="850" spans="1:2">
      <c r="A850" s="1"/>
      <c r="B850" s="1"/>
    </row>
    <row r="851" spans="1:2">
      <c r="A851" s="1"/>
      <c r="B851" s="1"/>
    </row>
    <row r="852" spans="1:2">
      <c r="A852" s="1"/>
      <c r="B852" s="1"/>
    </row>
    <row r="853" spans="1:2">
      <c r="A853" s="1"/>
      <c r="B853" s="1"/>
    </row>
    <row r="854" spans="1:2">
      <c r="A854" s="1"/>
      <c r="B854" s="1"/>
    </row>
    <row r="855" spans="1:2">
      <c r="A855" s="1"/>
      <c r="B855" s="1"/>
    </row>
    <row r="856" spans="1:2">
      <c r="A856" s="1"/>
      <c r="B856" s="1"/>
    </row>
    <row r="857" spans="1:2">
      <c r="A857" s="1"/>
      <c r="B857" s="1"/>
    </row>
    <row r="858" spans="1:2">
      <c r="A858" s="1"/>
      <c r="B858" s="1"/>
    </row>
    <row r="859" spans="1:2">
      <c r="A859" s="1"/>
      <c r="B859" s="1"/>
    </row>
    <row r="860" spans="1:2">
      <c r="A860" s="1"/>
      <c r="B860" s="1"/>
    </row>
    <row r="861" spans="1:2">
      <c r="A861" s="1"/>
      <c r="B861" s="1"/>
    </row>
    <row r="862" spans="1:2">
      <c r="A862" s="1"/>
      <c r="B862" s="1"/>
    </row>
    <row r="863" spans="1:2">
      <c r="A863" s="1"/>
      <c r="B863" s="1"/>
    </row>
    <row r="864" spans="1:2">
      <c r="A864" s="1"/>
      <c r="B864" s="1"/>
    </row>
    <row r="865" spans="1:2">
      <c r="A865" s="1"/>
      <c r="B865" s="1"/>
    </row>
    <row r="866" spans="1:2">
      <c r="A866" s="1"/>
      <c r="B866" s="1"/>
    </row>
    <row r="867" spans="1:2">
      <c r="A867" s="1"/>
      <c r="B867" s="1"/>
    </row>
    <row r="868" spans="1:2">
      <c r="A868" s="1"/>
      <c r="B868" s="1"/>
    </row>
    <row r="869" spans="1:2">
      <c r="A869" s="1"/>
      <c r="B869" s="1"/>
    </row>
    <row r="870" spans="1:2">
      <c r="A870" s="1"/>
      <c r="B870" s="1"/>
    </row>
    <row r="871" spans="1:2">
      <c r="A871" s="1"/>
      <c r="B871" s="1"/>
    </row>
    <row r="872" spans="1:2">
      <c r="A872" s="1"/>
      <c r="B872" s="1"/>
    </row>
    <row r="873" spans="1:2">
      <c r="A873" s="1"/>
      <c r="B873" s="1"/>
    </row>
    <row r="874" spans="1:2">
      <c r="A874" s="1"/>
      <c r="B874" s="1"/>
    </row>
    <row r="875" spans="1:2">
      <c r="A875" s="1"/>
      <c r="B875" s="1"/>
    </row>
    <row r="876" spans="1:2">
      <c r="A876" s="1"/>
      <c r="B876" s="1"/>
    </row>
    <row r="877" spans="1:2">
      <c r="A877" s="1"/>
      <c r="B877" s="1"/>
    </row>
    <row r="878" spans="1:2">
      <c r="A878" s="1"/>
      <c r="B878" s="1"/>
    </row>
    <row r="879" spans="1:2">
      <c r="A879" s="1"/>
      <c r="B879" s="1"/>
    </row>
    <row r="880" spans="1:2">
      <c r="A880" s="1"/>
      <c r="B880" s="1"/>
    </row>
    <row r="881" spans="1:2">
      <c r="A881" s="1"/>
      <c r="B881" s="1"/>
    </row>
    <row r="882" spans="1:2">
      <c r="A882" s="1"/>
      <c r="B882" s="1"/>
    </row>
    <row r="883" spans="1:2">
      <c r="A883" s="1"/>
      <c r="B883" s="1"/>
    </row>
    <row r="884" spans="1:2">
      <c r="A884" s="1"/>
      <c r="B884" s="1"/>
    </row>
    <row r="885" spans="1:2">
      <c r="A885" s="1"/>
      <c r="B885" s="1"/>
    </row>
    <row r="886" spans="1:2">
      <c r="A886" s="1"/>
      <c r="B886" s="1"/>
    </row>
    <row r="887" spans="1:2">
      <c r="A887" s="1"/>
      <c r="B887" s="1"/>
    </row>
    <row r="888" spans="1:2">
      <c r="A888" s="1"/>
      <c r="B888" s="1"/>
    </row>
    <row r="889" spans="1:2">
      <c r="A889" s="1"/>
      <c r="B889" s="1"/>
    </row>
    <row r="890" spans="1:2">
      <c r="A890" s="1"/>
      <c r="B890" s="1"/>
    </row>
    <row r="891" spans="1:2">
      <c r="A891" s="1"/>
      <c r="B891" s="1"/>
    </row>
    <row r="892" spans="1:2">
      <c r="A892" s="1"/>
      <c r="B892" s="1"/>
    </row>
    <row r="893" spans="1:2">
      <c r="A893" s="1"/>
      <c r="B893" s="1"/>
    </row>
    <row r="894" spans="1:2">
      <c r="A894" s="1"/>
      <c r="B894" s="1"/>
    </row>
    <row r="895" spans="1:2">
      <c r="A895" s="1"/>
      <c r="B895" s="1"/>
    </row>
    <row r="896" spans="1:2">
      <c r="A896" s="1"/>
      <c r="B896" s="1"/>
    </row>
    <row r="897" spans="1:2">
      <c r="A897" s="1"/>
      <c r="B897" s="1"/>
    </row>
    <row r="898" spans="1:2">
      <c r="A898" s="1"/>
      <c r="B898" s="1"/>
    </row>
    <row r="899" spans="1:2">
      <c r="A899" s="1"/>
      <c r="B899" s="1"/>
    </row>
    <row r="900" spans="1:2">
      <c r="A900" s="1"/>
      <c r="B900" s="1"/>
    </row>
    <row r="901" spans="1:2">
      <c r="A901" s="1"/>
      <c r="B901" s="1"/>
    </row>
    <row r="902" spans="1:2">
      <c r="A902" s="1"/>
      <c r="B902" s="1"/>
    </row>
    <row r="903" spans="1:2">
      <c r="A903" s="1"/>
      <c r="B903" s="1"/>
    </row>
    <row r="904" spans="1:2">
      <c r="A904" s="1"/>
      <c r="B904" s="1"/>
    </row>
    <row r="905" spans="1:2">
      <c r="A905" s="1"/>
      <c r="B905" s="1"/>
    </row>
    <row r="906" spans="1:2">
      <c r="A906" s="1"/>
      <c r="B906" s="1"/>
    </row>
    <row r="907" spans="1:2">
      <c r="A907" s="1"/>
      <c r="B907" s="1"/>
    </row>
    <row r="908" spans="1:2">
      <c r="A908" s="1"/>
      <c r="B908" s="1"/>
    </row>
    <row r="909" spans="1:2">
      <c r="A909" s="1"/>
      <c r="B909" s="1"/>
    </row>
    <row r="910" spans="1:2">
      <c r="A910" s="1"/>
      <c r="B910" s="1"/>
    </row>
    <row r="911" spans="1:2">
      <c r="A911" s="1"/>
      <c r="B911" s="1"/>
    </row>
    <row r="912" spans="1:2">
      <c r="A912" s="1"/>
      <c r="B912" s="1"/>
    </row>
    <row r="913" spans="1:2">
      <c r="A913" s="1"/>
      <c r="B913" s="1"/>
    </row>
    <row r="914" spans="1:2">
      <c r="A914" s="1"/>
      <c r="B914" s="1"/>
    </row>
    <row r="915" spans="1:2">
      <c r="A915" s="1"/>
      <c r="B915" s="1"/>
    </row>
    <row r="916" spans="1:2">
      <c r="A916" s="1"/>
      <c r="B916" s="1"/>
    </row>
    <row r="917" spans="1:2">
      <c r="A917" s="1"/>
      <c r="B917" s="1"/>
    </row>
    <row r="918" spans="1:2">
      <c r="A918" s="1"/>
      <c r="B918" s="1"/>
    </row>
    <row r="919" spans="1:2">
      <c r="A919" s="1"/>
      <c r="B919" s="1"/>
    </row>
    <row r="920" spans="1:2">
      <c r="A920" s="1"/>
      <c r="B920" s="1"/>
    </row>
    <row r="921" spans="1:2">
      <c r="A921" s="1"/>
      <c r="B921" s="1"/>
    </row>
    <row r="922" spans="1:2">
      <c r="A922" s="1"/>
      <c r="B922" s="1"/>
    </row>
    <row r="923" spans="1:2">
      <c r="A923" s="1"/>
      <c r="B923" s="1"/>
    </row>
    <row r="924" spans="1:2">
      <c r="A924" s="1"/>
      <c r="B924" s="1"/>
    </row>
    <row r="925" spans="1:2">
      <c r="A925" s="1"/>
      <c r="B925" s="1"/>
    </row>
    <row r="926" spans="1:2">
      <c r="A926" s="1"/>
      <c r="B926" s="1"/>
    </row>
    <row r="927" spans="1:2">
      <c r="A927" s="1"/>
      <c r="B927" s="1"/>
    </row>
    <row r="928" spans="1:2">
      <c r="A928" s="1"/>
      <c r="B928" s="1"/>
    </row>
    <row r="929" spans="1:2">
      <c r="A929" s="1"/>
      <c r="B929" s="1"/>
    </row>
    <row r="930" spans="1:2">
      <c r="A930" s="1"/>
      <c r="B930" s="1"/>
    </row>
    <row r="931" spans="1:2">
      <c r="A931" s="1"/>
      <c r="B931" s="1"/>
    </row>
    <row r="932" spans="1:2">
      <c r="A932" s="1"/>
      <c r="B932" s="1"/>
    </row>
    <row r="933" spans="1:2">
      <c r="A933" s="1"/>
      <c r="B933" s="1"/>
    </row>
    <row r="934" spans="1:2">
      <c r="A934" s="1"/>
      <c r="B934" s="1"/>
    </row>
    <row r="935" spans="1:2">
      <c r="A935" s="1"/>
      <c r="B935" s="1"/>
    </row>
    <row r="936" spans="1:2">
      <c r="A936" s="1"/>
      <c r="B936" s="1"/>
    </row>
    <row r="937" spans="1:2">
      <c r="A937" s="1"/>
      <c r="B937" s="1"/>
    </row>
    <row r="938" spans="1:2">
      <c r="A938" s="1"/>
      <c r="B938" s="1"/>
    </row>
    <row r="939" spans="1:2">
      <c r="A939" s="1"/>
      <c r="B939" s="1"/>
    </row>
    <row r="940" spans="1:2">
      <c r="A940" s="1"/>
      <c r="B940" s="1"/>
    </row>
    <row r="941" spans="1:2">
      <c r="A941" s="1"/>
      <c r="B941" s="1"/>
    </row>
    <row r="942" spans="1:2">
      <c r="A942" s="1"/>
      <c r="B942" s="1"/>
    </row>
    <row r="943" spans="1:2">
      <c r="A943" s="1"/>
      <c r="B943" s="1"/>
    </row>
    <row r="944" spans="1:2">
      <c r="A944" s="1"/>
      <c r="B944" s="1"/>
    </row>
    <row r="945" spans="1:2">
      <c r="A945" s="1"/>
      <c r="B945" s="1"/>
    </row>
    <row r="946" spans="1:2">
      <c r="A946" s="1"/>
      <c r="B946" s="1"/>
    </row>
    <row r="947" spans="1:2">
      <c r="A947" s="1"/>
      <c r="B947" s="1"/>
    </row>
    <row r="948" spans="1:2">
      <c r="A948" s="1"/>
      <c r="B948" s="1"/>
    </row>
    <row r="949" spans="1:2">
      <c r="A949" s="1"/>
      <c r="B949" s="1"/>
    </row>
    <row r="950" spans="1:2">
      <c r="A950" s="1"/>
      <c r="B950" s="1"/>
    </row>
    <row r="951" spans="1:2">
      <c r="A951" s="1"/>
      <c r="B951" s="1"/>
    </row>
    <row r="952" spans="1:2">
      <c r="A952" s="1"/>
      <c r="B952" s="1"/>
    </row>
    <row r="953" spans="1:2">
      <c r="A953" s="1"/>
      <c r="B953" s="1"/>
    </row>
    <row r="954" spans="1:2">
      <c r="A954" s="1"/>
      <c r="B954" s="1"/>
    </row>
    <row r="955" spans="1:2">
      <c r="A955" s="1"/>
      <c r="B955" s="1"/>
    </row>
    <row r="956" spans="1:2">
      <c r="A956" s="1"/>
      <c r="B956" s="1"/>
    </row>
    <row r="957" spans="1:2">
      <c r="A957" s="1"/>
      <c r="B957" s="1"/>
    </row>
    <row r="958" spans="1:2">
      <c r="A958" s="1"/>
      <c r="B958" s="1"/>
    </row>
    <row r="959" spans="1:2">
      <c r="A959" s="1"/>
      <c r="B959" s="1"/>
    </row>
    <row r="960" spans="1:2">
      <c r="A960" s="1"/>
      <c r="B960" s="1"/>
    </row>
    <row r="961" spans="1:2">
      <c r="A961" s="1"/>
      <c r="B961" s="1"/>
    </row>
    <row r="962" spans="1:2">
      <c r="A962" s="1"/>
      <c r="B962" s="1"/>
    </row>
    <row r="963" spans="1:2">
      <c r="A963" s="1"/>
      <c r="B963" s="1"/>
    </row>
    <row r="964" spans="1:2">
      <c r="A964" s="1"/>
      <c r="B964" s="1"/>
    </row>
    <row r="965" spans="1:2">
      <c r="A965" s="1"/>
      <c r="B965" s="1"/>
    </row>
    <row r="966" spans="1:2">
      <c r="A966" s="1"/>
      <c r="B966" s="1"/>
    </row>
    <row r="967" spans="1:2">
      <c r="A967" s="1"/>
      <c r="B967" s="1"/>
    </row>
    <row r="968" spans="1:2">
      <c r="A968" s="1"/>
      <c r="B968" s="1"/>
    </row>
    <row r="969" spans="1:2">
      <c r="A969" s="1"/>
      <c r="B969" s="1"/>
    </row>
    <row r="970" spans="1:2">
      <c r="A970" s="1"/>
      <c r="B970" s="1"/>
    </row>
    <row r="971" spans="1:2">
      <c r="A971" s="1"/>
      <c r="B971" s="1"/>
    </row>
    <row r="972" spans="1:2">
      <c r="A972" s="1"/>
      <c r="B972" s="1"/>
    </row>
    <row r="973" spans="1:2">
      <c r="A973" s="1"/>
      <c r="B973" s="1"/>
    </row>
    <row r="974" spans="1:2">
      <c r="A974" s="1"/>
      <c r="B974" s="1"/>
    </row>
    <row r="975" spans="1:2">
      <c r="A975" s="1"/>
      <c r="B975" s="1"/>
    </row>
    <row r="976" spans="1:2">
      <c r="A976" s="1"/>
      <c r="B976" s="1"/>
    </row>
    <row r="977" spans="1:2">
      <c r="A977" s="1"/>
      <c r="B977" s="1"/>
    </row>
    <row r="978" spans="1:2">
      <c r="A978" s="1"/>
      <c r="B978" s="1"/>
    </row>
    <row r="979" spans="1:2">
      <c r="A979" s="1"/>
      <c r="B979" s="1"/>
    </row>
    <row r="980" spans="1:2">
      <c r="A980" s="1"/>
      <c r="B980" s="1"/>
    </row>
    <row r="981" spans="1:2">
      <c r="A981" s="1"/>
      <c r="B981" s="1"/>
    </row>
    <row r="982" spans="1:2">
      <c r="A982" s="1"/>
      <c r="B982" s="1"/>
    </row>
    <row r="983" spans="1:2">
      <c r="A983" s="1"/>
      <c r="B983" s="1"/>
    </row>
  </sheetData>
  <conditionalFormatting sqref="D2:D498">
    <cfRule type="dataBar" priority="83">
      <dataBar>
        <cfvo type="min"/>
        <cfvo type="percentile" val="90"/>
        <color rgb="FFFF6D01"/>
      </dataBar>
    </cfRule>
    <cfRule type="dataBar" priority="84">
      <dataBar>
        <cfvo type="min"/>
        <cfvo type="max"/>
        <color rgb="FFFF6D01"/>
      </dataBar>
    </cfRule>
    <cfRule type="dataBar" priority="129">
      <dataBar>
        <cfvo type="min"/>
        <cfvo type="max"/>
        <color rgb="FFFF6D01"/>
      </dataBar>
      <extLst>
        <ext xmlns:x14="http://schemas.microsoft.com/office/spreadsheetml/2009/9/main" uri="{B025F937-C7B1-47D3-B67F-A62EFF666E3E}">
          <x14:id>{351B00EF-CC8A-515A-7FB4-C155E0C41E7A}</x14:id>
        </ext>
      </extLst>
    </cfRule>
  </conditionalFormatting>
  <conditionalFormatting sqref="G2:G498">
    <cfRule type="dataBar" priority="87">
      <dataBar>
        <cfvo type="min"/>
        <cfvo type="percentile" val="90"/>
        <color rgb="FFFF6D01"/>
      </dataBar>
    </cfRule>
    <cfRule type="dataBar" priority="88">
      <dataBar>
        <cfvo type="min"/>
        <cfvo type="max"/>
        <color rgb="FFFF6D01"/>
      </dataBar>
    </cfRule>
    <cfRule type="dataBar" priority="130">
      <dataBar>
        <cfvo type="min"/>
        <cfvo type="max"/>
        <color rgb="FFFF6D01"/>
      </dataBar>
      <extLst>
        <ext xmlns:x14="http://schemas.microsoft.com/office/spreadsheetml/2009/9/main" uri="{B025F937-C7B1-47D3-B67F-A62EFF666E3E}">
          <x14:id>{B0AA478F-EA18-82F7-6157-1C8CB8D11029}</x14:id>
        </ext>
      </extLst>
    </cfRule>
  </conditionalFormatting>
  <conditionalFormatting sqref="J2:J498">
    <cfRule type="dataBar" priority="91">
      <dataBar>
        <cfvo type="min"/>
        <cfvo type="percentile" val="90"/>
        <color rgb="FFFF6D01"/>
      </dataBar>
    </cfRule>
    <cfRule type="dataBar" priority="92">
      <dataBar>
        <cfvo type="min"/>
        <cfvo type="max"/>
        <color rgb="FFFF6D01"/>
      </dataBar>
    </cfRule>
    <cfRule type="dataBar" priority="131">
      <dataBar>
        <cfvo type="min"/>
        <cfvo type="max"/>
        <color rgb="FFFF6D01"/>
      </dataBar>
      <extLst>
        <ext xmlns:x14="http://schemas.microsoft.com/office/spreadsheetml/2009/9/main" uri="{B025F937-C7B1-47D3-B67F-A62EFF666E3E}">
          <x14:id>{12F61967-C2E7-B573-0AE4-E38AB0DC3D68}</x14:id>
        </ext>
      </extLst>
    </cfRule>
  </conditionalFormatting>
  <conditionalFormatting sqref="M2:M498">
    <cfRule type="dataBar" priority="95">
      <dataBar>
        <cfvo type="min"/>
        <cfvo type="percentile" val="90"/>
        <color rgb="FFFF6D01"/>
      </dataBar>
    </cfRule>
    <cfRule type="dataBar" priority="96">
      <dataBar>
        <cfvo type="min"/>
        <cfvo type="max"/>
        <color rgb="FFFF6D01"/>
      </dataBar>
    </cfRule>
    <cfRule type="dataBar" priority="132">
      <dataBar>
        <cfvo type="min"/>
        <cfvo type="max"/>
        <color rgb="FFFF6D01"/>
      </dataBar>
      <extLst>
        <ext xmlns:x14="http://schemas.microsoft.com/office/spreadsheetml/2009/9/main" uri="{B025F937-C7B1-47D3-B67F-A62EFF666E3E}">
          <x14:id>{1CF0AFA6-8C63-23EC-95A5-78930828306B}</x14:id>
        </ext>
      </extLst>
    </cfRule>
  </conditionalFormatting>
  <conditionalFormatting sqref="P2:P498">
    <cfRule type="dataBar" priority="99">
      <dataBar>
        <cfvo type="min"/>
        <cfvo type="percentile" val="90"/>
        <color rgb="FFFF6D01"/>
      </dataBar>
    </cfRule>
    <cfRule type="dataBar" priority="100">
      <dataBar>
        <cfvo type="min"/>
        <cfvo type="max"/>
        <color rgb="FFFF6D01"/>
      </dataBar>
    </cfRule>
    <cfRule type="dataBar" priority="133">
      <dataBar>
        <cfvo type="min"/>
        <cfvo type="max"/>
        <color rgb="FFFF6D01"/>
      </dataBar>
      <extLst>
        <ext xmlns:x14="http://schemas.microsoft.com/office/spreadsheetml/2009/9/main" uri="{B025F937-C7B1-47D3-B67F-A62EFF666E3E}">
          <x14:id>{B40DCE0C-3F86-7833-7B4A-D94D87575884}</x14:id>
        </ext>
      </extLst>
    </cfRule>
  </conditionalFormatting>
  <conditionalFormatting sqref="S2:S498">
    <cfRule type="dataBar" priority="103">
      <dataBar>
        <cfvo type="min"/>
        <cfvo type="percentile" val="90"/>
        <color rgb="FFFF6D01"/>
      </dataBar>
    </cfRule>
    <cfRule type="dataBar" priority="104">
      <dataBar>
        <cfvo type="min"/>
        <cfvo type="max"/>
        <color rgb="FFFF6D01"/>
      </dataBar>
    </cfRule>
    <cfRule type="dataBar" priority="134">
      <dataBar>
        <cfvo type="min"/>
        <cfvo type="max"/>
        <color rgb="FFFF6D01"/>
      </dataBar>
      <extLst>
        <ext xmlns:x14="http://schemas.microsoft.com/office/spreadsheetml/2009/9/main" uri="{B025F937-C7B1-47D3-B67F-A62EFF666E3E}">
          <x14:id>{0F8C80B6-CE95-6A82-C43E-47A88D098193}</x14:id>
        </ext>
      </extLst>
    </cfRule>
  </conditionalFormatting>
  <conditionalFormatting sqref="V2:V498">
    <cfRule type="dataBar" priority="107">
      <dataBar>
        <cfvo type="min"/>
        <cfvo type="percentile" val="90"/>
        <color rgb="FFFF6D01"/>
      </dataBar>
    </cfRule>
    <cfRule type="dataBar" priority="108">
      <dataBar>
        <cfvo type="min"/>
        <cfvo type="max"/>
        <color rgb="FFFF6D01"/>
      </dataBar>
    </cfRule>
    <cfRule type="dataBar" priority="135">
      <dataBar>
        <cfvo type="min"/>
        <cfvo type="max"/>
        <color rgb="FFFF6D01"/>
      </dataBar>
      <extLst>
        <ext xmlns:x14="http://schemas.microsoft.com/office/spreadsheetml/2009/9/main" uri="{B025F937-C7B1-47D3-B67F-A62EFF666E3E}">
          <x14:id>{0180FB0A-A8B0-D0FF-098C-0B827706AC12}</x14:id>
        </ext>
      </extLst>
    </cfRule>
  </conditionalFormatting>
  <conditionalFormatting sqref="Y2:Y498">
    <cfRule type="dataBar" priority="111">
      <dataBar>
        <cfvo type="min"/>
        <cfvo type="percentile" val="90"/>
        <color rgb="FFFF6D01"/>
      </dataBar>
    </cfRule>
    <cfRule type="dataBar" priority="112">
      <dataBar>
        <cfvo type="min"/>
        <cfvo type="max"/>
        <color rgb="FFFF6D01"/>
      </dataBar>
    </cfRule>
    <cfRule type="dataBar" priority="136">
      <dataBar>
        <cfvo type="min"/>
        <cfvo type="max"/>
        <color rgb="FFFF6D01"/>
      </dataBar>
      <extLst>
        <ext xmlns:x14="http://schemas.microsoft.com/office/spreadsheetml/2009/9/main" uri="{B025F937-C7B1-47D3-B67F-A62EFF666E3E}">
          <x14:id>{ACB3F98D-9FD3-2A1C-6BF8-1F1D2DFC7D67}</x14:id>
        </ext>
      </extLst>
    </cfRule>
  </conditionalFormatting>
  <conditionalFormatting sqref="AB2:AB498">
    <cfRule type="dataBar" priority="115">
      <dataBar>
        <cfvo type="min"/>
        <cfvo type="percentile" val="90"/>
        <color rgb="FFFF6D01"/>
      </dataBar>
    </cfRule>
    <cfRule type="dataBar" priority="116">
      <dataBar>
        <cfvo type="min"/>
        <cfvo type="max"/>
        <color rgb="FFFF6D01"/>
      </dataBar>
    </cfRule>
    <cfRule type="dataBar" priority="137">
      <dataBar>
        <cfvo type="min"/>
        <cfvo type="max"/>
        <color rgb="FFFF6D01"/>
      </dataBar>
      <extLst>
        <ext xmlns:x14="http://schemas.microsoft.com/office/spreadsheetml/2009/9/main" uri="{B025F937-C7B1-47D3-B67F-A62EFF666E3E}">
          <x14:id>{1C1966C5-FE39-F4BD-81E9-844C7D733EEB}</x14:id>
        </ext>
      </extLst>
    </cfRule>
  </conditionalFormatting>
  <conditionalFormatting sqref="AE2:AE498">
    <cfRule type="dataBar" priority="119">
      <dataBar>
        <cfvo type="min"/>
        <cfvo type="percentile" val="90"/>
        <color rgb="FFFF6D01"/>
      </dataBar>
    </cfRule>
    <cfRule type="dataBar" priority="120">
      <dataBar>
        <cfvo type="min"/>
        <cfvo type="max"/>
        <color rgb="FFFF6D01"/>
      </dataBar>
    </cfRule>
    <cfRule type="dataBar" priority="138">
      <dataBar>
        <cfvo type="min"/>
        <cfvo type="max"/>
        <color rgb="FFFF6D01"/>
      </dataBar>
      <extLst>
        <ext xmlns:x14="http://schemas.microsoft.com/office/spreadsheetml/2009/9/main" uri="{B025F937-C7B1-47D3-B67F-A62EFF666E3E}">
          <x14:id>{43E4FADF-9EA2-58A6-49DC-670ABC8AB8F8}</x14:id>
        </ext>
      </extLst>
    </cfRule>
  </conditionalFormatting>
  <conditionalFormatting sqref="AH2:AH498">
    <cfRule type="dataBar" priority="123">
      <dataBar>
        <cfvo type="min"/>
        <cfvo type="percentile" val="90"/>
        <color rgb="FFFF6D01"/>
      </dataBar>
    </cfRule>
    <cfRule type="dataBar" priority="124">
      <dataBar>
        <cfvo type="min"/>
        <cfvo type="max"/>
        <color rgb="FFFF6D01"/>
      </dataBar>
    </cfRule>
    <cfRule type="dataBar" priority="139">
      <dataBar>
        <cfvo type="min"/>
        <cfvo type="max"/>
        <color rgb="FFFF6D01"/>
      </dataBar>
      <extLst>
        <ext xmlns:x14="http://schemas.microsoft.com/office/spreadsheetml/2009/9/main" uri="{B025F937-C7B1-47D3-B67F-A62EFF666E3E}">
          <x14:id>{832605EB-C9DC-C0F4-42AA-FE334F76D2D1}</x14:id>
        </ext>
      </extLst>
    </cfRule>
  </conditionalFormatting>
  <conditionalFormatting sqref="AK2:AK498">
    <cfRule type="dataBar" priority="127">
      <dataBar>
        <cfvo type="min"/>
        <cfvo type="percentile" val="90"/>
        <color rgb="FFFF6D01"/>
      </dataBar>
    </cfRule>
    <cfRule type="dataBar" priority="128">
      <dataBar>
        <cfvo type="min"/>
        <cfvo type="max"/>
        <color rgb="FFFF6D01"/>
      </dataBar>
    </cfRule>
    <cfRule type="dataBar" priority="140">
      <dataBar>
        <cfvo type="min"/>
        <cfvo type="max"/>
        <color rgb="FFFF6D01"/>
      </dataBar>
      <extLst>
        <ext xmlns:x14="http://schemas.microsoft.com/office/spreadsheetml/2009/9/main" uri="{B025F937-C7B1-47D3-B67F-A62EFF666E3E}">
          <x14:id>{587085B9-14C3-A4D3-CCD1-FE9AF9A91298}</x14:id>
        </ext>
      </extLst>
    </cfRule>
  </conditionalFormatting>
  <conditionalFormatting sqref="AN2:AN61">
    <cfRule type="dataBar" priority="10">
      <dataBar>
        <cfvo type="min"/>
        <cfvo type="percentile" val="90"/>
        <color rgb="FFFF6D01"/>
      </dataBar>
    </cfRule>
    <cfRule type="dataBar" priority="11">
      <dataBar>
        <cfvo type="min"/>
        <cfvo type="max"/>
        <color rgb="FFFF6D01"/>
      </dataBar>
    </cfRule>
    <cfRule type="dataBar" priority="12">
      <dataBar>
        <cfvo type="min"/>
        <cfvo type="max"/>
        <color rgb="FFFF6D01"/>
      </dataBar>
      <extLst>
        <ext xmlns:x14="http://schemas.microsoft.com/office/spreadsheetml/2009/9/main" uri="{B025F937-C7B1-47D3-B67F-A62EFF666E3E}">
          <x14:id>{5FEE4621-AEAC-4A5E-AC4C-E781F1D4ECB4}</x14:id>
        </ext>
      </extLst>
    </cfRule>
  </conditionalFormatting>
  <conditionalFormatting sqref="AQ2:AQ61">
    <cfRule type="dataBar" priority="7">
      <dataBar>
        <cfvo type="min"/>
        <cfvo type="percentile" val="90"/>
        <color rgb="FFFF6D01"/>
      </dataBar>
    </cfRule>
    <cfRule type="dataBar" priority="8">
      <dataBar>
        <cfvo type="min"/>
        <cfvo type="max"/>
        <color rgb="FFFF6D01"/>
      </dataBar>
    </cfRule>
    <cfRule type="dataBar" priority="9">
      <dataBar>
        <cfvo type="min"/>
        <cfvo type="max"/>
        <color rgb="FFFF6D01"/>
      </dataBar>
      <extLst>
        <ext xmlns:x14="http://schemas.microsoft.com/office/spreadsheetml/2009/9/main" uri="{B025F937-C7B1-47D3-B67F-A62EFF666E3E}">
          <x14:id>{C1D66BCB-6A58-4536-957C-26EE3B0CEF27}</x14:id>
        </ext>
      </extLst>
    </cfRule>
  </conditionalFormatting>
  <conditionalFormatting sqref="AT2:AT61">
    <cfRule type="dataBar" priority="1">
      <dataBar>
        <cfvo type="min"/>
        <cfvo type="percentile" val="90"/>
        <color rgb="FFFF6D01"/>
      </dataBar>
    </cfRule>
    <cfRule type="dataBar" priority="2">
      <dataBar>
        <cfvo type="min"/>
        <cfvo type="max"/>
        <color rgb="FFFF6D01"/>
      </dataBar>
    </cfRule>
    <cfRule type="dataBar" priority="3">
      <dataBar>
        <cfvo type="min"/>
        <cfvo type="max"/>
        <color rgb="FFFF6D01"/>
      </dataBar>
      <extLst>
        <ext xmlns:x14="http://schemas.microsoft.com/office/spreadsheetml/2009/9/main" uri="{B025F937-C7B1-47D3-B67F-A62EFF666E3E}">
          <x14:id>{1018A477-D33D-4C8D-B332-8B5064379781}</x14:id>
        </ext>
      </extLst>
    </cfRule>
  </conditionalFormatting>
  <pageMargins left="0.7" right="0.7" top="0.75" bottom="0.75" header="0.3" footer="0.3"/>
  <drawing r:id="rId1"/>
  <tableParts count="1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s>
  <extLst>
    <ext xmlns:x14="http://schemas.microsoft.com/office/spreadsheetml/2009/9/main" uri="{78C0D931-6437-407d-A8EE-F0AAD7539E65}">
      <x14:conditionalFormattings>
        <x14:conditionalFormatting xmlns:xm="http://schemas.microsoft.com/office/excel/2006/main">
          <x14:cfRule type="dataBar" id="{351B00EF-CC8A-515A-7FB4-C155E0C41E7A}">
            <x14:dataBar>
              <x14:cfvo type="min"/>
              <x14:cfvo type="max"/>
              <x14:negativeFillColor auto="1"/>
              <x14:axisColor auto="1"/>
            </x14:dataBar>
          </x14:cfRule>
          <xm:sqref>D2:D498</xm:sqref>
        </x14:conditionalFormatting>
        <x14:conditionalFormatting xmlns:xm="http://schemas.microsoft.com/office/excel/2006/main">
          <x14:cfRule type="dataBar" id="{B0AA478F-EA18-82F7-6157-1C8CB8D11029}">
            <x14:dataBar>
              <x14:cfvo type="min"/>
              <x14:cfvo type="max"/>
              <x14:negativeFillColor auto="1"/>
              <x14:axisColor auto="1"/>
            </x14:dataBar>
          </x14:cfRule>
          <xm:sqref>G2:G498</xm:sqref>
        </x14:conditionalFormatting>
        <x14:conditionalFormatting xmlns:xm="http://schemas.microsoft.com/office/excel/2006/main">
          <x14:cfRule type="dataBar" id="{12F61967-C2E7-B573-0AE4-E38AB0DC3D68}">
            <x14:dataBar>
              <x14:cfvo type="min"/>
              <x14:cfvo type="max"/>
              <x14:negativeFillColor auto="1"/>
              <x14:axisColor auto="1"/>
            </x14:dataBar>
          </x14:cfRule>
          <xm:sqref>J2:J498</xm:sqref>
        </x14:conditionalFormatting>
        <x14:conditionalFormatting xmlns:xm="http://schemas.microsoft.com/office/excel/2006/main">
          <x14:cfRule type="dataBar" id="{1CF0AFA6-8C63-23EC-95A5-78930828306B}">
            <x14:dataBar>
              <x14:cfvo type="min"/>
              <x14:cfvo type="max"/>
              <x14:negativeFillColor auto="1"/>
              <x14:axisColor auto="1"/>
            </x14:dataBar>
          </x14:cfRule>
          <xm:sqref>M2:M498</xm:sqref>
        </x14:conditionalFormatting>
        <x14:conditionalFormatting xmlns:xm="http://schemas.microsoft.com/office/excel/2006/main">
          <x14:cfRule type="dataBar" id="{B40DCE0C-3F86-7833-7B4A-D94D87575884}">
            <x14:dataBar>
              <x14:cfvo type="min"/>
              <x14:cfvo type="max"/>
              <x14:negativeFillColor auto="1"/>
              <x14:axisColor auto="1"/>
            </x14:dataBar>
          </x14:cfRule>
          <xm:sqref>P2:P498</xm:sqref>
        </x14:conditionalFormatting>
        <x14:conditionalFormatting xmlns:xm="http://schemas.microsoft.com/office/excel/2006/main">
          <x14:cfRule type="dataBar" id="{0F8C80B6-CE95-6A82-C43E-47A88D098193}">
            <x14:dataBar>
              <x14:cfvo type="min"/>
              <x14:cfvo type="max"/>
              <x14:negativeFillColor auto="1"/>
              <x14:axisColor auto="1"/>
            </x14:dataBar>
          </x14:cfRule>
          <xm:sqref>S2:S498</xm:sqref>
        </x14:conditionalFormatting>
        <x14:conditionalFormatting xmlns:xm="http://schemas.microsoft.com/office/excel/2006/main">
          <x14:cfRule type="dataBar" id="{0180FB0A-A8B0-D0FF-098C-0B827706AC12}">
            <x14:dataBar>
              <x14:cfvo type="min"/>
              <x14:cfvo type="max"/>
              <x14:negativeFillColor auto="1"/>
              <x14:axisColor auto="1"/>
            </x14:dataBar>
          </x14:cfRule>
          <xm:sqref>V2:V498</xm:sqref>
        </x14:conditionalFormatting>
        <x14:conditionalFormatting xmlns:xm="http://schemas.microsoft.com/office/excel/2006/main">
          <x14:cfRule type="dataBar" id="{ACB3F98D-9FD3-2A1C-6BF8-1F1D2DFC7D67}">
            <x14:dataBar>
              <x14:cfvo type="min"/>
              <x14:cfvo type="max"/>
              <x14:negativeFillColor auto="1"/>
              <x14:axisColor auto="1"/>
            </x14:dataBar>
          </x14:cfRule>
          <xm:sqref>Y2:Y498</xm:sqref>
        </x14:conditionalFormatting>
        <x14:conditionalFormatting xmlns:xm="http://schemas.microsoft.com/office/excel/2006/main">
          <x14:cfRule type="dataBar" id="{1C1966C5-FE39-F4BD-81E9-844C7D733EEB}">
            <x14:dataBar>
              <x14:cfvo type="min"/>
              <x14:cfvo type="max"/>
              <x14:negativeFillColor auto="1"/>
              <x14:axisColor auto="1"/>
            </x14:dataBar>
          </x14:cfRule>
          <xm:sqref>AB2:AB498</xm:sqref>
        </x14:conditionalFormatting>
        <x14:conditionalFormatting xmlns:xm="http://schemas.microsoft.com/office/excel/2006/main">
          <x14:cfRule type="dataBar" id="{43E4FADF-9EA2-58A6-49DC-670ABC8AB8F8}">
            <x14:dataBar>
              <x14:cfvo type="min"/>
              <x14:cfvo type="max"/>
              <x14:negativeFillColor auto="1"/>
              <x14:axisColor auto="1"/>
            </x14:dataBar>
          </x14:cfRule>
          <xm:sqref>AE2:AE498</xm:sqref>
        </x14:conditionalFormatting>
        <x14:conditionalFormatting xmlns:xm="http://schemas.microsoft.com/office/excel/2006/main">
          <x14:cfRule type="dataBar" id="{832605EB-C9DC-C0F4-42AA-FE334F76D2D1}">
            <x14:dataBar>
              <x14:cfvo type="min"/>
              <x14:cfvo type="max"/>
              <x14:negativeFillColor auto="1"/>
              <x14:axisColor auto="1"/>
            </x14:dataBar>
          </x14:cfRule>
          <xm:sqref>AH2:AH498</xm:sqref>
        </x14:conditionalFormatting>
        <x14:conditionalFormatting xmlns:xm="http://schemas.microsoft.com/office/excel/2006/main">
          <x14:cfRule type="dataBar" id="{587085B9-14C3-A4D3-CCD1-FE9AF9A91298}">
            <x14:dataBar>
              <x14:cfvo type="min"/>
              <x14:cfvo type="max"/>
              <x14:negativeFillColor auto="1"/>
              <x14:axisColor auto="1"/>
            </x14:dataBar>
          </x14:cfRule>
          <xm:sqref>AK2:AK498</xm:sqref>
        </x14:conditionalFormatting>
        <x14:conditionalFormatting xmlns:xm="http://schemas.microsoft.com/office/excel/2006/main">
          <x14:cfRule type="dataBar" id="{5FEE4621-AEAC-4A5E-AC4C-E781F1D4ECB4}">
            <x14:dataBar>
              <x14:cfvo type="min"/>
              <x14:cfvo type="max"/>
              <x14:negativeFillColor auto="1"/>
              <x14:axisColor auto="1"/>
            </x14:dataBar>
          </x14:cfRule>
          <xm:sqref>AN2:AN61</xm:sqref>
        </x14:conditionalFormatting>
        <x14:conditionalFormatting xmlns:xm="http://schemas.microsoft.com/office/excel/2006/main">
          <x14:cfRule type="dataBar" id="{C1D66BCB-6A58-4536-957C-26EE3B0CEF27}">
            <x14:dataBar>
              <x14:cfvo type="min"/>
              <x14:cfvo type="max"/>
              <x14:negativeFillColor auto="1"/>
              <x14:axisColor auto="1"/>
            </x14:dataBar>
          </x14:cfRule>
          <xm:sqref>AQ2:AQ61</xm:sqref>
        </x14:conditionalFormatting>
        <x14:conditionalFormatting xmlns:xm="http://schemas.microsoft.com/office/excel/2006/main">
          <x14:cfRule type="dataBar" id="{1018A477-D33D-4C8D-B332-8B5064379781}">
            <x14:dataBar>
              <x14:cfvo type="min"/>
              <x14:cfvo type="max"/>
              <x14:negativeFillColor auto="1"/>
              <x14:axisColor auto="1"/>
            </x14:dataBar>
          </x14:cfRule>
          <xm:sqref>AT2:AT61</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FCB223-A80C-4F36-A495-CA2AF3A98730}">
  <sheetPr codeName="Лист3"/>
  <dimension ref="A1:H55"/>
  <sheetViews>
    <sheetView zoomScale="89" zoomScaleNormal="89" workbookViewId="0">
      <selection activeCell="H4" sqref="H4:H15"/>
    </sheetView>
  </sheetViews>
  <sheetFormatPr defaultColWidth="12.5703125" defaultRowHeight="12.75"/>
  <cols>
    <col min="1" max="1" width="19.140625" bestFit="1" customWidth="1"/>
    <col min="2" max="2" width="19.7109375" bestFit="1" customWidth="1"/>
    <col min="3" max="3" width="11.7109375" bestFit="1" customWidth="1"/>
    <col min="4" max="4" width="14.42578125" bestFit="1" customWidth="1"/>
    <col min="5" max="5" width="9.7109375" bestFit="1" customWidth="1"/>
    <col min="6" max="6" width="10.7109375" bestFit="1" customWidth="1"/>
    <col min="7" max="7" width="15.5703125" bestFit="1" customWidth="1"/>
    <col min="8" max="8" width="17.85546875" bestFit="1" customWidth="1"/>
  </cols>
  <sheetData>
    <row r="1" spans="1:8" ht="25.5" customHeight="1">
      <c r="A1" s="133" t="s">
        <v>89</v>
      </c>
      <c r="B1" s="134"/>
      <c r="C1" s="85"/>
      <c r="D1" s="85"/>
      <c r="E1" s="85"/>
      <c r="F1" s="85"/>
      <c r="G1" s="84"/>
    </row>
    <row r="2" spans="1:8" ht="15.75" hidden="1" customHeight="1">
      <c r="A2" t="s">
        <v>618</v>
      </c>
      <c r="B2" s="43" t="s">
        <v>619</v>
      </c>
      <c r="C2" s="86" t="s">
        <v>620</v>
      </c>
      <c r="D2" s="43" t="s">
        <v>621</v>
      </c>
      <c r="E2" s="86" t="s">
        <v>622</v>
      </c>
      <c r="F2" s="43" t="s">
        <v>623</v>
      </c>
      <c r="G2" s="43" t="s">
        <v>624</v>
      </c>
      <c r="H2" s="43" t="s">
        <v>625</v>
      </c>
    </row>
    <row r="3" spans="1:8" ht="15.75" customHeight="1">
      <c r="A3" s="82"/>
      <c r="B3" s="83"/>
      <c r="C3" s="87"/>
      <c r="D3" s="87"/>
      <c r="E3" s="87"/>
      <c r="F3" s="87"/>
      <c r="G3" s="87"/>
      <c r="H3" s="88"/>
    </row>
    <row r="4" spans="1:8">
      <c r="A4" s="73" t="s">
        <v>493</v>
      </c>
      <c r="B4" s="74" t="s">
        <v>498</v>
      </c>
      <c r="C4" s="74" t="s">
        <v>513</v>
      </c>
      <c r="D4" s="74" t="s">
        <v>532</v>
      </c>
      <c r="E4" s="74" t="s">
        <v>554</v>
      </c>
      <c r="F4" s="74" t="s">
        <v>558</v>
      </c>
      <c r="G4" s="74" t="s">
        <v>563</v>
      </c>
      <c r="H4" s="74" t="s">
        <v>572</v>
      </c>
    </row>
    <row r="5" spans="1:8">
      <c r="A5" s="75" t="s">
        <v>494</v>
      </c>
      <c r="B5" s="75" t="s">
        <v>499</v>
      </c>
      <c r="C5" s="75" t="s">
        <v>514</v>
      </c>
      <c r="D5" s="75" t="s">
        <v>533</v>
      </c>
      <c r="E5" s="75" t="s">
        <v>555</v>
      </c>
      <c r="F5" s="75" t="s">
        <v>559</v>
      </c>
      <c r="G5" s="75" t="s">
        <v>564</v>
      </c>
      <c r="H5" s="75" t="s">
        <v>573</v>
      </c>
    </row>
    <row r="6" spans="1:8">
      <c r="A6" s="75" t="s">
        <v>495</v>
      </c>
      <c r="B6" s="75" t="s">
        <v>500</v>
      </c>
      <c r="C6" s="75" t="s">
        <v>515</v>
      </c>
      <c r="D6" s="75" t="s">
        <v>534</v>
      </c>
      <c r="E6" s="75" t="s">
        <v>556</v>
      </c>
      <c r="F6" s="75" t="s">
        <v>560</v>
      </c>
      <c r="G6" s="75" t="s">
        <v>565</v>
      </c>
      <c r="H6" s="75" t="s">
        <v>574</v>
      </c>
    </row>
    <row r="7" spans="1:8">
      <c r="A7" s="75" t="s">
        <v>496</v>
      </c>
      <c r="B7" s="75" t="s">
        <v>501</v>
      </c>
      <c r="C7" s="75" t="s">
        <v>516</v>
      </c>
      <c r="D7" s="75" t="s">
        <v>535</v>
      </c>
      <c r="E7" s="75" t="s">
        <v>557</v>
      </c>
      <c r="F7" s="75" t="s">
        <v>561</v>
      </c>
      <c r="G7" s="75" t="s">
        <v>566</v>
      </c>
      <c r="H7" s="75" t="s">
        <v>575</v>
      </c>
    </row>
    <row r="8" spans="1:8">
      <c r="A8" s="75" t="s">
        <v>497</v>
      </c>
      <c r="B8" s="75" t="s">
        <v>502</v>
      </c>
      <c r="C8" s="75" t="s">
        <v>517</v>
      </c>
      <c r="D8" s="75" t="s">
        <v>536</v>
      </c>
      <c r="E8" s="76"/>
      <c r="F8" s="75" t="s">
        <v>562</v>
      </c>
      <c r="G8" s="75" t="s">
        <v>567</v>
      </c>
      <c r="H8" s="75" t="s">
        <v>576</v>
      </c>
    </row>
    <row r="9" spans="1:8">
      <c r="A9" s="75" t="s">
        <v>615</v>
      </c>
      <c r="B9" s="75" t="s">
        <v>503</v>
      </c>
      <c r="C9" s="75" t="s">
        <v>518</v>
      </c>
      <c r="D9" s="75" t="s">
        <v>537</v>
      </c>
      <c r="E9" s="76"/>
      <c r="F9" s="76"/>
      <c r="G9" s="75" t="s">
        <v>568</v>
      </c>
      <c r="H9" s="75" t="s">
        <v>577</v>
      </c>
    </row>
    <row r="10" spans="1:8">
      <c r="A10" s="75" t="s">
        <v>616</v>
      </c>
      <c r="B10" s="75" t="s">
        <v>504</v>
      </c>
      <c r="C10" s="75" t="s">
        <v>519</v>
      </c>
      <c r="D10" s="75" t="s">
        <v>538</v>
      </c>
      <c r="E10" s="76"/>
      <c r="F10" s="76"/>
      <c r="G10" s="75" t="s">
        <v>569</v>
      </c>
      <c r="H10" s="75" t="s">
        <v>578</v>
      </c>
    </row>
    <row r="11" spans="1:8" ht="15">
      <c r="A11" s="77"/>
      <c r="B11" s="75" t="s">
        <v>505</v>
      </c>
      <c r="C11" s="75" t="s">
        <v>520</v>
      </c>
      <c r="D11" s="75" t="s">
        <v>539</v>
      </c>
      <c r="E11" s="76"/>
      <c r="F11" s="76"/>
      <c r="G11" s="75" t="s">
        <v>570</v>
      </c>
      <c r="H11" s="75" t="s">
        <v>579</v>
      </c>
    </row>
    <row r="12" spans="1:8" ht="15">
      <c r="A12" s="77"/>
      <c r="B12" s="75" t="s">
        <v>506</v>
      </c>
      <c r="C12" s="75" t="s">
        <v>521</v>
      </c>
      <c r="D12" s="75" t="s">
        <v>540</v>
      </c>
      <c r="E12" s="76"/>
      <c r="F12" s="76"/>
      <c r="G12" s="75" t="s">
        <v>571</v>
      </c>
      <c r="H12" s="75" t="s">
        <v>580</v>
      </c>
    </row>
    <row r="13" spans="1:8" ht="15">
      <c r="A13" s="77"/>
      <c r="B13" s="75" t="s">
        <v>507</v>
      </c>
      <c r="C13" s="75" t="s">
        <v>522</v>
      </c>
      <c r="D13" s="75" t="s">
        <v>541</v>
      </c>
      <c r="E13" s="76"/>
      <c r="F13" s="76"/>
      <c r="G13" s="76"/>
      <c r="H13" s="75" t="s">
        <v>581</v>
      </c>
    </row>
    <row r="14" spans="1:8" ht="15">
      <c r="A14" s="78"/>
      <c r="B14" s="75" t="s">
        <v>508</v>
      </c>
      <c r="C14" s="75" t="s">
        <v>523</v>
      </c>
      <c r="D14" s="75" t="s">
        <v>542</v>
      </c>
      <c r="E14" s="76"/>
      <c r="F14" s="76"/>
      <c r="G14" s="76"/>
      <c r="H14" s="75" t="s">
        <v>582</v>
      </c>
    </row>
    <row r="15" spans="1:8" ht="15">
      <c r="A15" s="77"/>
      <c r="B15" s="75" t="s">
        <v>509</v>
      </c>
      <c r="C15" s="75" t="s">
        <v>524</v>
      </c>
      <c r="D15" s="75" t="s">
        <v>543</v>
      </c>
      <c r="E15" s="76"/>
      <c r="F15" s="76"/>
      <c r="G15" s="76"/>
      <c r="H15" s="75" t="s">
        <v>583</v>
      </c>
    </row>
    <row r="16" spans="1:8" ht="15">
      <c r="A16" s="77"/>
      <c r="B16" s="75" t="s">
        <v>510</v>
      </c>
      <c r="C16" s="75" t="s">
        <v>525</v>
      </c>
      <c r="D16" s="75" t="s">
        <v>544</v>
      </c>
      <c r="E16" s="76"/>
      <c r="F16" s="76"/>
      <c r="G16" s="76"/>
      <c r="H16" s="76"/>
    </row>
    <row r="17" spans="1:8" ht="15">
      <c r="A17" s="78"/>
      <c r="B17" s="75" t="s">
        <v>511</v>
      </c>
      <c r="C17" s="75" t="s">
        <v>526</v>
      </c>
      <c r="D17" s="75" t="s">
        <v>545</v>
      </c>
      <c r="E17" s="76"/>
      <c r="F17" s="76"/>
      <c r="G17" s="76"/>
      <c r="H17" s="76"/>
    </row>
    <row r="18" spans="1:8" ht="15">
      <c r="A18" s="78"/>
      <c r="B18" s="75" t="s">
        <v>512</v>
      </c>
      <c r="C18" s="75" t="s">
        <v>527</v>
      </c>
      <c r="D18" s="75" t="s">
        <v>546</v>
      </c>
      <c r="E18" s="76"/>
      <c r="F18" s="76"/>
      <c r="G18" s="76"/>
      <c r="H18" s="76"/>
    </row>
    <row r="19" spans="1:8" ht="15">
      <c r="A19" s="78"/>
      <c r="B19" s="76"/>
      <c r="C19" s="75" t="s">
        <v>528</v>
      </c>
      <c r="D19" s="75" t="s">
        <v>547</v>
      </c>
      <c r="E19" s="76"/>
      <c r="F19" s="76"/>
      <c r="G19" s="76"/>
      <c r="H19" s="76"/>
    </row>
    <row r="20" spans="1:8" ht="15">
      <c r="A20" s="77"/>
      <c r="B20" s="76"/>
      <c r="C20" s="75" t="s">
        <v>529</v>
      </c>
      <c r="D20" s="75" t="s">
        <v>548</v>
      </c>
      <c r="E20" s="76"/>
      <c r="F20" s="76"/>
      <c r="G20" s="76"/>
      <c r="H20" s="76"/>
    </row>
    <row r="21" spans="1:8" ht="15">
      <c r="A21" s="78"/>
      <c r="B21" s="76"/>
      <c r="C21" s="75" t="s">
        <v>530</v>
      </c>
      <c r="D21" s="75" t="s">
        <v>549</v>
      </c>
      <c r="E21" s="76"/>
      <c r="F21" s="76"/>
      <c r="G21" s="76"/>
      <c r="H21" s="76"/>
    </row>
    <row r="22" spans="1:8" ht="15">
      <c r="A22" s="77"/>
      <c r="B22" s="76"/>
      <c r="C22" s="75" t="s">
        <v>531</v>
      </c>
      <c r="D22" s="75" t="s">
        <v>550</v>
      </c>
      <c r="E22" s="76"/>
      <c r="F22" s="76"/>
      <c r="G22" s="76"/>
      <c r="H22" s="76"/>
    </row>
    <row r="23" spans="1:8" ht="15">
      <c r="A23" s="77"/>
      <c r="B23" s="76"/>
      <c r="C23" s="76"/>
      <c r="D23" s="75" t="s">
        <v>551</v>
      </c>
      <c r="E23" s="76"/>
      <c r="F23" s="76"/>
      <c r="G23" s="76"/>
      <c r="H23" s="76"/>
    </row>
    <row r="24" spans="1:8" ht="15">
      <c r="A24" s="77"/>
      <c r="B24" s="76"/>
      <c r="C24" s="76"/>
      <c r="D24" s="75" t="s">
        <v>552</v>
      </c>
      <c r="E24" s="76"/>
      <c r="F24" s="76"/>
      <c r="G24" s="76"/>
      <c r="H24" s="76"/>
    </row>
    <row r="25" spans="1:8" ht="15">
      <c r="A25" s="79"/>
      <c r="B25" s="80"/>
      <c r="C25" s="80"/>
      <c r="D25" s="81" t="s">
        <v>553</v>
      </c>
      <c r="E25" s="80"/>
      <c r="F25" s="80"/>
      <c r="G25" s="80"/>
      <c r="H25" s="80"/>
    </row>
    <row r="26" spans="1:8" ht="15">
      <c r="A26" s="4"/>
    </row>
    <row r="27" spans="1:8" ht="15">
      <c r="A27" s="5"/>
    </row>
    <row r="28" spans="1:8" ht="15">
      <c r="A28" s="4"/>
    </row>
    <row r="29" spans="1:8" ht="15">
      <c r="A29" s="5"/>
    </row>
    <row r="30" spans="1:8" ht="15">
      <c r="A30" s="5"/>
    </row>
    <row r="31" spans="1:8" ht="15">
      <c r="A31" s="4"/>
    </row>
    <row r="32" spans="1:8" ht="15.75" customHeight="1">
      <c r="A32" s="4"/>
    </row>
    <row r="33" spans="1:1" ht="15.75" customHeight="1">
      <c r="A33" s="4"/>
    </row>
    <row r="34" spans="1:1" ht="15.75" customHeight="1">
      <c r="A34" s="5"/>
    </row>
    <row r="35" spans="1:1" ht="15.75" customHeight="1">
      <c r="A35" s="4"/>
    </row>
    <row r="36" spans="1:1" ht="15.75" customHeight="1">
      <c r="A36" s="4"/>
    </row>
    <row r="37" spans="1:1" ht="15.75" customHeight="1">
      <c r="A37" s="4"/>
    </row>
    <row r="38" spans="1:1" ht="15.75" customHeight="1">
      <c r="A38" s="4"/>
    </row>
    <row r="39" spans="1:1" ht="15.75" customHeight="1">
      <c r="A39" s="4"/>
    </row>
    <row r="40" spans="1:1" ht="15.75" customHeight="1">
      <c r="A40" s="4"/>
    </row>
    <row r="41" spans="1:1" ht="15.75" customHeight="1">
      <c r="A41" s="4"/>
    </row>
    <row r="42" spans="1:1" ht="15.75" customHeight="1">
      <c r="A42" s="4"/>
    </row>
    <row r="43" spans="1:1" ht="15.75" customHeight="1">
      <c r="A43" s="5"/>
    </row>
    <row r="44" spans="1:1" ht="15.75" customHeight="1">
      <c r="A44" s="4"/>
    </row>
    <row r="45" spans="1:1" ht="15.75" customHeight="1">
      <c r="A45" s="5"/>
    </row>
    <row r="46" spans="1:1" ht="15.75" customHeight="1">
      <c r="A46" s="4"/>
    </row>
    <row r="47" spans="1:1" ht="15.75" customHeight="1">
      <c r="A47" s="4"/>
    </row>
    <row r="48" spans="1:1" ht="15.75" customHeight="1">
      <c r="A48" s="5"/>
    </row>
    <row r="49" spans="1:1" ht="15.75" customHeight="1">
      <c r="A49" s="5"/>
    </row>
    <row r="50" spans="1:1" ht="15.75" customHeight="1">
      <c r="A50" s="5"/>
    </row>
    <row r="51" spans="1:1" ht="15.75" customHeight="1">
      <c r="A51" s="4"/>
    </row>
    <row r="52" spans="1:1" ht="15.75" customHeight="1">
      <c r="A52" s="4"/>
    </row>
    <row r="53" spans="1:1" ht="15.75" customHeight="1">
      <c r="A53" s="5"/>
    </row>
    <row r="54" spans="1:1" ht="15.75" customHeight="1">
      <c r="A54" s="4"/>
    </row>
    <row r="55" spans="1:1" ht="15.75" customHeight="1">
      <c r="A55" s="4"/>
    </row>
  </sheetData>
  <mergeCells count="1">
    <mergeCell ref="A1:B1"/>
  </mergeCells>
  <pageMargins left="0.7" right="0.7" top="0.75" bottom="0.75" header="0.3" footer="0.3"/>
  <drawing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BDAAED3-33B3-4231-B10F-7AF5C20BCFE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5</vt:i4>
      </vt:variant>
    </vt:vector>
  </HeadingPairs>
  <TitlesOfParts>
    <vt:vector size="5" baseType="lpstr">
      <vt:lpstr>Конкурентный анализ</vt:lpstr>
      <vt:lpstr>Плюс и минус</vt:lpstr>
      <vt:lpstr>Маска</vt:lpstr>
      <vt:lpstr>Группы запросов</vt:lpstr>
      <vt:lpstr>Минус-слова</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Kozinskaya Galina</dc:creator>
  <cp:lastModifiedBy>Galina Kozinskaya</cp:lastModifiedBy>
  <dcterms:created xsi:type="dcterms:W3CDTF">2026-05-18T05:09:18Z</dcterms:created>
  <dcterms:modified xsi:type="dcterms:W3CDTF">2026-07-13T12:19:05Z</dcterms:modified>
</cp:coreProperties>
</file>