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42ec1b2a118f99c/Документы/Практическая работа маркетинг/"/>
    </mc:Choice>
  </mc:AlternateContent>
  <xr:revisionPtr revIDLastSave="806" documentId="8_{F30083B2-6D46-432E-8F84-0B4C8CF0AEC8}" xr6:coauthVersionLast="47" xr6:coauthVersionMax="47" xr10:uidLastSave="{AF267D9B-E668-430B-B225-1D873AD8B69B}"/>
  <bookViews>
    <workbookView xWindow="-120" yWindow="-120" windowWidth="20730" windowHeight="11040" activeTab="1" xr2:uid="{00000000-000D-0000-FFFF-FFFF00000000}"/>
  </bookViews>
  <sheets>
    <sheet name="Шаблон Медиаплана" sheetId="4" r:id="rId1"/>
    <sheet name="Прогноз и тест" sheetId="1" r:id="rId2"/>
    <sheet name="Проверка_CPC" sheetId="2" r:id="rId3"/>
    <sheet name="Прогноз_Direct_85" sheetId="3" r:id="rId4"/>
  </sheets>
  <definedNames>
    <definedName name="ExternalData_1" localSheetId="2" hidden="1">Проверка_CPC!$A$4:$E$23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4" l="1"/>
  <c r="L23" i="4"/>
  <c r="H71" i="1"/>
  <c r="M24" i="4"/>
  <c r="T61" i="1"/>
  <c r="S61" i="1"/>
  <c r="N23" i="4"/>
  <c r="O23" i="4" s="1"/>
  <c r="T65" i="1"/>
  <c r="T60" i="1"/>
  <c r="S60" i="1"/>
  <c r="T59" i="1"/>
  <c r="S59" i="1"/>
  <c r="T64" i="1"/>
  <c r="S64" i="1"/>
  <c r="S65" i="1" s="1"/>
  <c r="U59" i="1"/>
  <c r="T58" i="1"/>
  <c r="S58" i="1"/>
  <c r="T56" i="1"/>
  <c r="S56" i="1"/>
  <c r="M29" i="4"/>
  <c r="N29" i="4" s="1"/>
  <c r="N22" i="4"/>
  <c r="O22" i="4" s="1"/>
  <c r="B22" i="4"/>
  <c r="B23" i="4" s="1"/>
  <c r="S21" i="4"/>
  <c r="N60" i="1"/>
  <c r="H10" i="3"/>
  <c r="E10" i="3"/>
  <c r="D10" i="3"/>
  <c r="F76" i="1"/>
  <c r="H75" i="1"/>
  <c r="G75" i="1"/>
  <c r="E75" i="1"/>
  <c r="H74" i="1"/>
  <c r="G74" i="1"/>
  <c r="E74" i="1"/>
  <c r="H73" i="1"/>
  <c r="H70" i="1"/>
  <c r="H69" i="1"/>
  <c r="H68" i="1"/>
  <c r="G68" i="1"/>
  <c r="E68" i="1"/>
  <c r="H67" i="1"/>
  <c r="G67" i="1"/>
  <c r="E67" i="1"/>
  <c r="H66" i="1"/>
  <c r="H65" i="1"/>
  <c r="H64" i="1"/>
  <c r="H63" i="1"/>
  <c r="G63" i="1"/>
  <c r="E63" i="1"/>
  <c r="E76" i="1" s="1"/>
  <c r="N56" i="1" s="1"/>
  <c r="H62" i="1"/>
  <c r="H61" i="1"/>
  <c r="H60" i="1"/>
  <c r="H59" i="1"/>
  <c r="N57" i="1"/>
  <c r="N61" i="1" s="1"/>
  <c r="H58" i="1"/>
  <c r="H57" i="1"/>
  <c r="H56" i="1"/>
  <c r="Q23" i="4" l="1"/>
  <c r="S23" i="4"/>
  <c r="U22" i="4"/>
  <c r="V22" i="4" s="1"/>
  <c r="T67" i="1"/>
  <c r="T68" i="1"/>
  <c r="S67" i="1"/>
  <c r="S68" i="1"/>
  <c r="T63" i="1"/>
  <c r="S66" i="1"/>
  <c r="U64" i="1"/>
  <c r="T66" i="1"/>
  <c r="T62" i="1"/>
  <c r="S62" i="1"/>
  <c r="U61" i="1"/>
  <c r="S63" i="1"/>
  <c r="U60" i="1"/>
  <c r="U63" i="1" s="1"/>
  <c r="U56" i="1"/>
  <c r="N21" i="4"/>
  <c r="O21" i="4" s="1"/>
  <c r="N58" i="1"/>
  <c r="G10" i="3"/>
  <c r="F10" i="3"/>
  <c r="G95" i="1"/>
  <c r="H95" i="1" s="1"/>
  <c r="I75" i="1"/>
  <c r="G94" i="1"/>
  <c r="H94" i="1" s="1"/>
  <c r="I74" i="1"/>
  <c r="G85" i="1"/>
  <c r="H85" i="1" s="1"/>
  <c r="I68" i="1"/>
  <c r="G86" i="1"/>
  <c r="H86" i="1" s="1"/>
  <c r="I67" i="1"/>
  <c r="G84" i="1"/>
  <c r="H84" i="1" s="1"/>
  <c r="I63" i="1"/>
  <c r="I76" i="1" s="1"/>
  <c r="N64" i="1" s="1"/>
  <c r="G76" i="1"/>
  <c r="S22" i="4" l="1"/>
  <c r="P23" i="4"/>
  <c r="T23" i="4"/>
  <c r="U23" i="4"/>
  <c r="V23" i="4" s="1"/>
  <c r="Q21" i="4"/>
  <c r="Q24" i="4" s="1"/>
  <c r="O24" i="4"/>
  <c r="D18" i="4" s="1"/>
  <c r="N24" i="4"/>
  <c r="D17" i="4" s="1"/>
  <c r="U67" i="1"/>
  <c r="U62" i="1"/>
  <c r="M28" i="4"/>
  <c r="D16" i="4"/>
  <c r="N65" i="1"/>
  <c r="N63" i="1"/>
  <c r="N62" i="1"/>
  <c r="N59" i="1"/>
  <c r="H76" i="1"/>
  <c r="U21" i="4" l="1"/>
  <c r="U24" i="4" s="1"/>
  <c r="L24" i="4"/>
  <c r="P21" i="4"/>
  <c r="P24" i="4" s="1"/>
  <c r="D9" i="4" s="1"/>
  <c r="N28" i="4"/>
  <c r="O28" i="4"/>
  <c r="M30" i="4"/>
  <c r="V21" i="4" l="1"/>
  <c r="D10" i="4"/>
  <c r="R24" i="4"/>
  <c r="D11" i="4" s="1"/>
  <c r="S24" i="4"/>
  <c r="D12" i="4" s="1"/>
  <c r="N30" i="4"/>
  <c r="O30" i="4"/>
  <c r="T24" i="4" l="1"/>
  <c r="D13" i="4" s="1"/>
  <c r="D14" i="4"/>
  <c r="V24" i="4"/>
  <c r="D15" i="4" s="1"/>
</calcChain>
</file>

<file path=xl/sharedStrings.xml><?xml version="1.0" encoding="utf-8"?>
<sst xmlns="http://schemas.openxmlformats.org/spreadsheetml/2006/main" count="719" uniqueCount="461">
  <si>
    <t>Тамара Розы</t>
  </si>
  <si>
    <t>Единый медиаплан: от брифа к прогнозу, тесту и масштабированию</t>
  </si>
  <si>
    <t>Россия · Яндекс Директ · VK Реклама</t>
  </si>
  <si>
    <t>Разбор брифа: что берём в работу</t>
  </si>
  <si>
    <t>1. Бюджет</t>
  </si>
  <si>
    <t>Из учебного задания берём только рекламный бюджет — 550 000 ₽. Старые 5 000 ₽ ежемесячно и 50 000 ₽ летом из брифа не используем. В задании 550 000 ₽ указаны именно как рекламный бюджет.</t>
  </si>
  <si>
    <t>2. Главная цель</t>
  </si>
  <si>
    <t xml:space="preserve">В брифе три разноуровневые цели: заказы на сайте, рост групп и общая видимость сайта. Единственная цель с цифрой — 30 заказов в день на сайте. Её берём как главную бизнес-цель медиаплана. Рост сообщества оставляем второстепенным показателем: в брифе нет ни целевого количества подписчиков, ни срока.
</t>
  </si>
  <si>
    <t>3. География</t>
  </si>
  <si>
    <t>В работе фиксируем: Россия. На сайте подтверждены отправки через СДЭК и Почту России; питомник находится в Пскове.</t>
  </si>
  <si>
    <t>4. Продукт и ассортимент</t>
  </si>
  <si>
    <t>На сайте расходятся цифры ассортимента: главная говорит о более чем 1 300 сортах, раздел «О питомнике» — о 569, FAQ — о более чем 1 400, статья — о более чем 1 500. Не выносим ни единой фиксированную цифры, пока сайт не приведёт их к одному значению.</t>
  </si>
  <si>
    <t>5. Сильные стороны</t>
  </si>
  <si>
    <t>Собственное производство роз в Пскове и прямые продажи из питомника. Сайт прямо противопоставляет производство перепродаже.
Формат саженца: закрытая корневая система, торфяной субстрат, конкретный подвой, гарантия сорта и упаковка перед отправкой.
Экспертность не спрятана только в биографии: есть статьи, ответы на вопросы и обещанная консультация по подбору сорта под регион и условия выращивания.
Каталог даёт параметры для подбора: аромат, цветение, цвет, высота, размер цветка, селекционер, страна и год селекции, зимостойкость, устойчивость к дождю, цена.</t>
  </si>
  <si>
    <t>6. Аудитория</t>
  </si>
  <si>
    <t>«Женщины 40+, садоводство, дача, строительство, страх пересорта и неприживаемости». Выгрузки аудитории в исходниках нет.</t>
  </si>
  <si>
    <t>7. Цена целевого действия</t>
  </si>
  <si>
    <t>100 ₽ из брифа не берём. Там в одну строку смешаны лид, заявка, клик и взаимодействие — это разные действия с разной ценой. Сам заказ тоже нужно отделить от оплаченного заказа: сайт работает с предоплатой, а бронь отменяется, если оплата не поступает семь дней.
Не 100 ₽, а нижняя граница актуального прогнозного диапазона для каждой отдельной связки: площадка → география → группа запросов/аудитория → целевое действие.
Единой «самой низкой цены по рынку» нет. Официальный прогноз Яндекс Директа рассчитывает ориентировочную цену перехода именно по выбранным регионам и ключевым фразам, а реальные расходы могут отличаться от прогноза 
Следующий шаг после этой ревизии — разложить цель “30 заказов в день” на измеримые действия и определить, что именно считаем заказом в таблице: оформление или оплату. Только потом берём группы запросов, регионы и строим текущий прогноз стоимости.</t>
  </si>
  <si>
    <t>От брифа к решению</t>
  </si>
  <si>
    <t>Бриф не даёт актуальной экономики рекламы: цена действия из него устарела, а учебные показатели не могут быть выданы за фактические показатели питомника.</t>
  </si>
  <si>
    <t>Поэтому этот медиаплан состоит из двух частей.</t>
  </si>
  <si>
    <t>Первая часть — прогноз до запуска.
Здесь мы не изображаем, будто реклама уже работала. Мы собираем текущие прогнозы по ключевым фразам, регионам, аудиториям и целевым действиям; рассчитываем тестовый бюджет и фиксируем, какие цифры должны появиться после запуска.</t>
  </si>
  <si>
    <t>Вторая часть — протокол теста.
Здесь заранее прописано, что именно мы проверяем, сколько данных нужно собрать, когда можно делать вывод и что менять, если связка не даёт нужного результата.</t>
  </si>
  <si>
    <t>Основной рекламный бюджет не участвует в первом тесте. Сначала мы обязаны понять, на каких связках есть спрос, где люди доходят до карточки, корзины и оформления, а где реклама только создаёт клики без движения к заказу.</t>
  </si>
  <si>
    <t>Цель рекламного продвижения</t>
  </si>
  <si>
    <t>Бизнес-цель питомника: получать 30 оформленных заказов в день на сайте.</t>
  </si>
  <si>
    <t>Для расчёта цели переводим дневной показатель в месячный:
30 заказов в день × 30 дней = 900 заказов в месяц.
Стоимость достижения этой цели не берётся из старого брифа и не задаётся вручную. Она выводится через прогнозную цену клика и прогнозную конверсию:
CPA = прогнозный CPC ÷ прогнозная конверсия в заказ
Бюджет на 900 заказов = 900 × CPA</t>
  </si>
  <si>
    <t>Главное правило:
сначала мы определяем рабочую связку, потом масштабируем её. Не наоборот.</t>
  </si>
  <si>
    <t>1. ЧТО СИСТЕМЕ РЕАЛЬНО НУЖНО СОБРАТЬ</t>
  </si>
  <si>
    <t>Яндекс Директ</t>
  </si>
  <si>
    <t>Для стратегии «Максимум конверсий» Яндекс указывает минимум 10 конверсий в неделю для обучения системы. Результат стратегии рекомендуют оценивать через 7–14 дней. Изменение цели или атрибуции запускает обучение заново.</t>
  </si>
  <si>
    <t>Для первой статистически ограниченной оценки нужно накопить хотя бы 25 конверсий: при таком объёме возможное отклонение конверсии составляет ±20%, а цены конверсии — ±40%. При 100 конверсиях погрешность снижается до ±10% и ±20% соответственно.</t>
  </si>
  <si>
    <t>В учебном материале по стратегиям отдельно зафиксировано: когда важна средняя цена клика, ориентир — более 100 кликов в неделю.</t>
  </si>
  <si>
    <t>2. ФОРМУЛА ТЕСТОВОГО БЮДЖЕТА</t>
  </si>
  <si>
    <t>Полная карта контекстных групп для выбора теста</t>
  </si>
  <si>
    <t>Кампания</t>
  </si>
  <si>
    <t>Регион</t>
  </si>
  <si>
    <t>Показы</t>
  </si>
  <si>
    <t>Клики</t>
  </si>
  <si>
    <t>CTR, %</t>
  </si>
  <si>
    <t>Ср. цена клика, руб.</t>
  </si>
  <si>
    <t>Бюджет</t>
  </si>
  <si>
    <t>Поиск - Английская роза</t>
  </si>
  <si>
    <t>Россия</t>
  </si>
  <si>
    <t>Поиск - Бренд</t>
  </si>
  <si>
    <t>Поиск - Исторические розы</t>
  </si>
  <si>
    <t>Поиск - Канадские розы</t>
  </si>
  <si>
    <t>Поиск - Миниатюрные розы</t>
  </si>
  <si>
    <t>Поиск - Мускусные розы</t>
  </si>
  <si>
    <t>Поиск - Парковые розы</t>
  </si>
  <si>
    <t>Поиск - Плетистые розы</t>
  </si>
  <si>
    <t>Поиск - Почвопокровные розы</t>
  </si>
  <si>
    <t>Поиск - Розы Остина</t>
  </si>
  <si>
    <t>Поиск - Саженцы роз</t>
  </si>
  <si>
    <t>Поиск - Флорибунда</t>
  </si>
  <si>
    <t>Поиск - Чайно-гибридные розы</t>
  </si>
  <si>
    <t>Поиск - Шрабы</t>
  </si>
  <si>
    <t>Поиск - Японские розы</t>
  </si>
  <si>
    <t>РСЯ - Бренд</t>
  </si>
  <si>
    <t>РСЯ - Общие розы</t>
  </si>
  <si>
    <t>РСЯ - Популярные категории</t>
  </si>
  <si>
    <t>РСЯ - Устойчивые / зимостойкие</t>
  </si>
  <si>
    <t>Итого Яндекс</t>
  </si>
  <si>
    <t>CPC в столбце «Ср. CPC» не введён вручную: каждая ячейка берёт значение из внутреннего листа «Проверка_CPC» — результата запроса Power Query «CPC_выгрузки_Яндекс». В каждой строке источника сохранено имя исходного файла.
«Прогноз бюджета» рассчитывает ставки, показы и клики по выбранным регионам и ключевым фразам и даёт выгрузку XLS</t>
  </si>
  <si>
    <t>Вывод:
на первом тесте в Директе не дробим бюджет на пятнадцать направлений и не ждём 25 заказов от каждого. Сначала проверяем 3-4 самых ёмких коммерческих кластера до 100 кликов на кластер. После этого у нас будет свой CPC, CTR. Победителей переводим в отдельную кампанию на конверсии.</t>
  </si>
  <si>
    <t>Группа</t>
  </si>
  <si>
    <t>Почему берём</t>
  </si>
  <si>
    <t>CPC для медиаплана</t>
  </si>
  <si>
    <t>Минимум на 100 кликов</t>
  </si>
  <si>
    <t>Плетистые розы</t>
  </si>
  <si>
    <t>Сильная категория, большой спрос, самый дешёвый CPC среди крупных групп</t>
  </si>
  <si>
    <t>Чайно-гибридные розы</t>
  </si>
  <si>
    <t>Крупная коммерческая категория, тоже дешёвый CPC</t>
  </si>
  <si>
    <t>Флорибунда</t>
  </si>
  <si>
    <t>Самая крупная категория по запросам среди товарных групп, посадочная понятная</t>
  </si>
  <si>
    <t>488 + 488 + 732 = 1 708 ₽
300 кликов
средний CPC поиска = 1 708 ÷ 300 = 5,69 ₽</t>
  </si>
  <si>
    <t>Не беру в первый минимальный тест «Саженцы роз»: там сильный спрос, но группа шире и дороже. Её логичнее ставить во второй круг, когда уже понятно, какие категории дают качество.</t>
  </si>
  <si>
    <t>РСЯ тестирует не прямой поисковый спрос, а связку аудитория → смысл → креатив → посадочная; поэтому в минимальный тест берём не все РСЯ-группы, а две разные гипотезы: товарную и болевую.</t>
  </si>
  <si>
    <t>РСЯ — Популярные категории</t>
  </si>
  <si>
    <t>Совпадает с сильными товарными группами: плетистые, флорибунда, чайно-гибридные</t>
  </si>
  <si>
    <t>РСЯ — Устойчивые / зимостойкие</t>
  </si>
  <si>
    <t>Проверяет не категорию, а боль: зима, устойчивость, страх потери саженца</t>
  </si>
  <si>
    <t>1 098 + 854 = 1 952 ₽
200 кликов
средний CPC РСЯ = 1 952 ÷ 200 = 9,76 ₽</t>
  </si>
  <si>
    <t>Не беру «РСЯ Тамара Розы»: она дешёвая, но брендовая — она проверяет уже знакомый спрос, а не рынок. Не беру «РСЯ общие розы»: слишком широкая и дороже.</t>
  </si>
  <si>
    <t>Итог минимального теста контекста</t>
  </si>
  <si>
    <t>Поиск: 1 708 ₽ / 300 кликов
РСЯ: 1 952 ₽ / 200 кликов
Минимальный бюджет контекста = 3 660 ₽
Минимум кликов = 500
Средний CPC = 3 660 ÷ 500 = 7,32 ₽</t>
  </si>
  <si>
    <t>Конверсию выводим не из учебных 10%</t>
  </si>
  <si>
    <t>CR без опоры не выводится. Её можно получить только одним из трёх способов:
1. Из факта после теста:
CR = заказы ÷ клики
Метрика определяет конверсию как долю целевых визитов, а цель — как нужное действие посетителя, например оформление заказа.
2. Как пороговую CR под заданный бюджет:
CR = 900 × CPC ÷ бюджет
Но тогда нужен бюджет. Если берём 550 000 ₽ — получаем порог для полного бюджета. Если берём минимальный тестовый бюджет — получаем порог только для теста, а не для 900 заказов.
3. Как расчётную CR минимального теста:
Для минимального теста берём 500 кликов.
Минимально проверяемая цель теста — 25 заказов.
CR теста = 25 заказов ÷ 500 кликов = 5%.
CPA теста = 3 660 ₽ ÷ 25 заказов = 146,40 ₽.
Расчётная стоимость 900 заказов:
900 × 146,40 ₽ = 131 760 ₽.</t>
  </si>
  <si>
    <t>500 кликов → минимум 25 заказов → CR 5% → CPA 146,40 ₽ → 900 заказов = 131 760 ₽.
При CPA оформленного заказа 146,40 ₽ реклама окупается, если валовая прибыль с одной оплаченной покупки выше стоимости этой покупки: от 146,40 ₽ при 100% оплат до 292,80 ₽ при 50% оплат.</t>
  </si>
  <si>
    <t>Почему 500 кликов допустимо как тест: Яндекс пишет, что стратегия по средней цене клика эффективна при объёме более 100 кликов в неделю, а средняя цена клика — это расход, делённый на количество кликов.
CPC берём из прогноза, потому что «Прогноз бюджета» Яндекса считает расходы и ориентировочную стоимость перехода по выбранным регионам и ключевым фразам.
Дальше нам нужен минимум конверсий. У Яндекса по оценке цены конверсии есть порог: от 25 конверсий цена конверсии уже имеет ограниченную погрешность, а если конверсий меньше 25, отклонение от истинного значения не ограничивается.</t>
  </si>
  <si>
    <t>Power Query — CPC_выгрузки_Яндекс</t>
  </si>
  <si>
    <t>Загруженный в книгу результат запроса. В столбце E — CPC, который используется в дорожной карте.</t>
  </si>
  <si>
    <t>Файл</t>
  </si>
  <si>
    <t>Первая_фраза_для_проверки</t>
  </si>
  <si>
    <t>CPC_точный_из_столбца_I</t>
  </si>
  <si>
    <t>CPC_округлённый</t>
  </si>
  <si>
    <t>CPC_для_медиаплана_с_1_22</t>
  </si>
  <si>
    <t>Английская роза.xlsx</t>
  </si>
  <si>
    <t>английская роза</t>
  </si>
  <si>
    <t>Исторические розы.xlsx</t>
  </si>
  <si>
    <t>луиз одье роза</t>
  </si>
  <si>
    <t>канадские.xlsx</t>
  </si>
  <si>
    <t>канадская роза александр маккензи</t>
  </si>
  <si>
    <t>Миниатюрные розы.xlsx</t>
  </si>
  <si>
    <t>миниатюрный саженец роз</t>
  </si>
  <si>
    <t>Мускусная роза.xlsx</t>
  </si>
  <si>
    <t>мускусная роза белая</t>
  </si>
  <si>
    <t>Парковые розы.xlsx</t>
  </si>
  <si>
    <t>купить парковую розу</t>
  </si>
  <si>
    <t>Плетистая.xlsx</t>
  </si>
  <si>
    <t>желтые плетистые розы</t>
  </si>
  <si>
    <t>Поиск Бренд.xlsx</t>
  </si>
  <si>
    <t>магазин тамара розы</t>
  </si>
  <si>
    <t>Почвопокровные.xlsx</t>
  </si>
  <si>
    <t>зимостойкие почвопокровные розы</t>
  </si>
  <si>
    <t>Розы Остина.xlsx</t>
  </si>
  <si>
    <t>английская роза дэвида остина</t>
  </si>
  <si>
    <t>РСЯ общие розы.xlsx</t>
  </si>
  <si>
    <t>интернет магазин саженцев роз</t>
  </si>
  <si>
    <t>РСЯ Популярные категории.xlsx</t>
  </si>
  <si>
    <t>плетистые розы</t>
  </si>
  <si>
    <t>РСЯ Тамара Розы.xlsx</t>
  </si>
  <si>
    <t>tamararozi</t>
  </si>
  <si>
    <t>РСЯ Устойчивые_зимостойкие.xlsx</t>
  </si>
  <si>
    <t>зимостойкие розы</t>
  </si>
  <si>
    <t>Саженцы.xlsx</t>
  </si>
  <si>
    <t>где купить саженцы роз</t>
  </si>
  <si>
    <t>Флорибунда.xlsx</t>
  </si>
  <si>
    <t>герцогиня флорибунда</t>
  </si>
  <si>
    <t>чайно гибридная.xlsx</t>
  </si>
  <si>
    <t>ашрам чайно гибридная</t>
  </si>
  <si>
    <t>Шрабы.xlsx</t>
  </si>
  <si>
    <t>английские шрабы</t>
  </si>
  <si>
    <t>Японские розы.xlsx</t>
  </si>
  <si>
    <t>белая японская роза</t>
  </si>
  <si>
    <t>Power Query — Прогноз_Direct_85</t>
  </si>
  <si>
    <t>Сводная таблица по 5 выгрузкам Яндекс Директа: объём трафика 85. В основной лист передаётся CTR_85; клики в тестовом расчёте остаются 100 на группу.</t>
  </si>
  <si>
    <t>Строка_медиаплана</t>
  </si>
  <si>
    <t>Группа_в_медиаплане</t>
  </si>
  <si>
    <t>Показы_85</t>
  </si>
  <si>
    <t>Клики_85</t>
  </si>
  <si>
    <t>CTR_85</t>
  </si>
  <si>
    <t>CPC_85_без_НДС</t>
  </si>
  <si>
    <t>Бюджет_85_без_НДС</t>
  </si>
  <si>
    <t>Плетистые.xls</t>
  </si>
  <si>
    <t>Флорибунда.xls</t>
  </si>
  <si>
    <t>Чайно-гибридные.xls</t>
  </si>
  <si>
    <t>РСЯ-популярные категории.xls</t>
  </si>
  <si>
    <t>РСЯ-зимостойкие.xls</t>
  </si>
  <si>
    <t>Итого / среднее</t>
  </si>
  <si>
    <t>Детализация по фразам из пяти выгрузок</t>
  </si>
  <si>
    <t>Фраза</t>
  </si>
  <si>
    <t>Запросы</t>
  </si>
  <si>
    <t>Объем_трафика</t>
  </si>
  <si>
    <t>зимостойкие плетистые розы</t>
  </si>
  <si>
    <t>индиголетта роза плетистая</t>
  </si>
  <si>
    <t>канадские плетистые розы</t>
  </si>
  <si>
    <t>морозостойкие плетистые розы</t>
  </si>
  <si>
    <t>плетистая роза без шипов</t>
  </si>
  <si>
    <t>плетистая роза даун</t>
  </si>
  <si>
    <t>плетистая роза де ронсар</t>
  </si>
  <si>
    <t>плетистая роза жуан</t>
  </si>
  <si>
    <t>плетистая роза клаймбер</t>
  </si>
  <si>
    <t>плетистая роза купить саженцы</t>
  </si>
  <si>
    <t>плетистая роза леди</t>
  </si>
  <si>
    <t>плетистые розы купить саженцы морозостойкие</t>
  </si>
  <si>
    <t>плетистые розы рамблеры</t>
  </si>
  <si>
    <t>роза алоха плетистая</t>
  </si>
  <si>
    <t>роза амадеус плетистая</t>
  </si>
  <si>
    <t>роза амнести интернешнл</t>
  </si>
  <si>
    <t>роза барок плетистая</t>
  </si>
  <si>
    <t>роза блю маджента</t>
  </si>
  <si>
    <t>роза брауни</t>
  </si>
  <si>
    <t>роза бьенвеню плетистая</t>
  </si>
  <si>
    <t>роза вейльхенблау</t>
  </si>
  <si>
    <t>роза дансинг квин</t>
  </si>
  <si>
    <t>роза дортмунд</t>
  </si>
  <si>
    <t>роза дрим уивер</t>
  </si>
  <si>
    <t>роза камелот</t>
  </si>
  <si>
    <t>роза кисс ми кейт</t>
  </si>
  <si>
    <t>роза компассион</t>
  </si>
  <si>
    <t>роза момо</t>
  </si>
  <si>
    <t>роза плетистая айсберг</t>
  </si>
  <si>
    <t>роза плетистая антик</t>
  </si>
  <si>
    <t>роза плетистая белая</t>
  </si>
  <si>
    <t>роза плетистая блю</t>
  </si>
  <si>
    <t>роза плетистая ванила</t>
  </si>
  <si>
    <t>роза плетистая голден</t>
  </si>
  <si>
    <t>роза плетистая голден гейт</t>
  </si>
  <si>
    <t>роза плетистая дон</t>
  </si>
  <si>
    <t>роза плетистая клайминг</t>
  </si>
  <si>
    <t>роза плетистая красная</t>
  </si>
  <si>
    <t>роза плетистая купить</t>
  </si>
  <si>
    <t>роза плетистая лагуна</t>
  </si>
  <si>
    <t>роза плетистая нью</t>
  </si>
  <si>
    <t>роза плетистая пале рояль</t>
  </si>
  <si>
    <t>роза плетистая полька</t>
  </si>
  <si>
    <t>роза плетистая пьер</t>
  </si>
  <si>
    <t>роза плетистая пьер де ронсар</t>
  </si>
  <si>
    <t>роза плетистая розариум ютерсен</t>
  </si>
  <si>
    <t>роза плетистая розовая</t>
  </si>
  <si>
    <t>роза плетистая ронсар</t>
  </si>
  <si>
    <t>роза плетистая роуз</t>
  </si>
  <si>
    <t>роза плетистая фламентанц</t>
  </si>
  <si>
    <t>роза плетистая флорентина</t>
  </si>
  <si>
    <t>роза плетистая эльф</t>
  </si>
  <si>
    <t>роза плетистая ютерсен</t>
  </si>
  <si>
    <t>роза сантана плетистая</t>
  </si>
  <si>
    <t>роза цезарь плетистая</t>
  </si>
  <si>
    <t>саженцы плетистых роз</t>
  </si>
  <si>
    <t>саженцы роз плетистых морозостойких</t>
  </si>
  <si>
    <t>салита роза плетистая</t>
  </si>
  <si>
    <t>шнеевальцер роза плетистая</t>
  </si>
  <si>
    <t>купить флорибунду</t>
  </si>
  <si>
    <t>кустовая флорибунда</t>
  </si>
  <si>
    <t>марлен флорибунда</t>
  </si>
  <si>
    <t>минерва роза флорибунда</t>
  </si>
  <si>
    <t>пастелла флорибунда</t>
  </si>
  <si>
    <t>роза айконик</t>
  </si>
  <si>
    <t>роза айсберг флорибунда</t>
  </si>
  <si>
    <t>роза акрополис</t>
  </si>
  <si>
    <t>роза алабастер</t>
  </si>
  <si>
    <t>роза амаретто</t>
  </si>
  <si>
    <t>роза априкола</t>
  </si>
  <si>
    <t>роза аспирин</t>
  </si>
  <si>
    <t>роза аут оф розенхайм</t>
  </si>
  <si>
    <t>роза баронесса</t>
  </si>
  <si>
    <t>роза белая флорибунда</t>
  </si>
  <si>
    <t>роза бенгали</t>
  </si>
  <si>
    <t>роза лав сонг</t>
  </si>
  <si>
    <t>роза лили марлен флорибунда</t>
  </si>
  <si>
    <t>роза терра лимбургия</t>
  </si>
  <si>
    <t>роза флорибунда</t>
  </si>
  <si>
    <t>роза флорибунда блю</t>
  </si>
  <si>
    <t>роза флорибунда герцогиня</t>
  </si>
  <si>
    <t>роза флорибунда изи</t>
  </si>
  <si>
    <t>роза флорибунда космос</t>
  </si>
  <si>
    <t>роза флорибунда купить</t>
  </si>
  <si>
    <t>роза флорибунда купить саженцы</t>
  </si>
  <si>
    <t>роза флорибунда мидсаммер</t>
  </si>
  <si>
    <t>роза флорибунда монако</t>
  </si>
  <si>
    <t>роза флорибунда новалис</t>
  </si>
  <si>
    <t>роза флорибунда розовая</t>
  </si>
  <si>
    <t>роза флорибунда рококо</t>
  </si>
  <si>
    <t>роза флорибунда саженцы</t>
  </si>
  <si>
    <t>роза флорибунда фрезия</t>
  </si>
  <si>
    <t>розы флорибунда марлен</t>
  </si>
  <si>
    <t>саженцы флорибунда</t>
  </si>
  <si>
    <t>флорибунда</t>
  </si>
  <si>
    <t>флорибунда айсберг</t>
  </si>
  <si>
    <t>флорибунда ангела</t>
  </si>
  <si>
    <t>флорибунда блю</t>
  </si>
  <si>
    <t>флорибунда гейша</t>
  </si>
  <si>
    <t>флорибунда да винчи</t>
  </si>
  <si>
    <t>флорибунда зимостойкость</t>
  </si>
  <si>
    <t>флорибунда изи даз</t>
  </si>
  <si>
    <t>флорибунда изи даз ит</t>
  </si>
  <si>
    <t>флорибунда кимоно</t>
  </si>
  <si>
    <t>флорибунда космос</t>
  </si>
  <si>
    <t>флорибунда красная</t>
  </si>
  <si>
    <t>флорибунда леонардо да винчи</t>
  </si>
  <si>
    <t>флорибунда мидсаммер</t>
  </si>
  <si>
    <t>флорибунда минерва</t>
  </si>
  <si>
    <t>флорибунда монако</t>
  </si>
  <si>
    <t>флорибунда новалис</t>
  </si>
  <si>
    <t>флорибунда принц монако</t>
  </si>
  <si>
    <t>флорибунда розовые</t>
  </si>
  <si>
    <t>флорибунда рококо</t>
  </si>
  <si>
    <t>чайно гибридная утопия</t>
  </si>
  <si>
    <t>белая чайно гибридная</t>
  </si>
  <si>
    <t>глория дей чайно гибридная</t>
  </si>
  <si>
    <t>дабл делайт чайно гибридная</t>
  </si>
  <si>
    <t>красные чайно гибридные</t>
  </si>
  <si>
    <t>моника чайно гибридная</t>
  </si>
  <si>
    <t>роза амбианс</t>
  </si>
  <si>
    <t>роза анна</t>
  </si>
  <si>
    <t>роза атена</t>
  </si>
  <si>
    <t>роза баркароле</t>
  </si>
  <si>
    <t>роза беверли</t>
  </si>
  <si>
    <t>роза биг перпл</t>
  </si>
  <si>
    <t>роза блаш</t>
  </si>
  <si>
    <t>роза блю парфюм</t>
  </si>
  <si>
    <t>роза кустовая чайно гибридная</t>
  </si>
  <si>
    <t>роза лимбо</t>
  </si>
  <si>
    <t>роза супер стар</t>
  </si>
  <si>
    <t>роза чайно гибридная баккара</t>
  </si>
  <si>
    <t>роза чайно гибридная белла</t>
  </si>
  <si>
    <t>роза чайно гибридная блэк</t>
  </si>
  <si>
    <t>роза чайно гибридная гранд</t>
  </si>
  <si>
    <t>роза чайно гибридная дабл</t>
  </si>
  <si>
    <t>роза чайно гибридная желтая</t>
  </si>
  <si>
    <t>роза чайно гибридная интуишн</t>
  </si>
  <si>
    <t>роза чайно гибридная куст</t>
  </si>
  <si>
    <t>роза чайно гибридная ред</t>
  </si>
  <si>
    <t>роза чайно гибридная утопия</t>
  </si>
  <si>
    <t>роза шраб пиано</t>
  </si>
  <si>
    <t>розовый чайно гибридная</t>
  </si>
  <si>
    <t>саженец чайно гибридной розы</t>
  </si>
  <si>
    <t>чайно гибридная</t>
  </si>
  <si>
    <t>чайно гибридная аква</t>
  </si>
  <si>
    <t>чайно гибридная анастасия</t>
  </si>
  <si>
    <t>чайно гибридная аскот</t>
  </si>
  <si>
    <t>чайно гибридная блю</t>
  </si>
  <si>
    <t>чайно гибридная боинг</t>
  </si>
  <si>
    <t>чайно гибридная глория</t>
  </si>
  <si>
    <t>чайно гибридная катрин роуз</t>
  </si>
  <si>
    <t>чайно гибридная керио</t>
  </si>
  <si>
    <t>чайно гибридная магия</t>
  </si>
  <si>
    <t>чайно гибридная осирия</t>
  </si>
  <si>
    <t>чайно гибридная пинк</t>
  </si>
  <si>
    <t>чайно гибридная роза черная</t>
  </si>
  <si>
    <t>чайно гибридная черная магия</t>
  </si>
  <si>
    <t>чайно гибридные пиано</t>
  </si>
  <si>
    <t>чайно гибридные розы</t>
  </si>
  <si>
    <t>шраб пиано</t>
  </si>
  <si>
    <t>чайные розы</t>
  </si>
  <si>
    <t>зимостойкие сорта роз</t>
  </si>
  <si>
    <t>канадские розы</t>
  </si>
  <si>
    <t>морозостойкие розы</t>
  </si>
  <si>
    <t>Показатель</t>
  </si>
  <si>
    <t>Обозн.</t>
  </si>
  <si>
    <t>Формула словами</t>
  </si>
  <si>
    <t>Значение</t>
  </si>
  <si>
    <t>Общее количество показов</t>
  </si>
  <si>
    <t>Imp</t>
  </si>
  <si>
    <t>Общее количество кликов</t>
  </si>
  <si>
    <t>Clicks</t>
  </si>
  <si>
    <t>Средний CTR</t>
  </si>
  <si>
    <t>CTR</t>
  </si>
  <si>
    <t>Клики ÷ показы</t>
  </si>
  <si>
    <t>Средний CPC</t>
  </si>
  <si>
    <t>CPC</t>
  </si>
  <si>
    <t>Бюджет ÷ клики</t>
  </si>
  <si>
    <t>Средний % конверсии</t>
  </si>
  <si>
    <t>CR</t>
  </si>
  <si>
    <t>Конверсии</t>
  </si>
  <si>
    <t>Conv</t>
  </si>
  <si>
    <t>Клики × CR</t>
  </si>
  <si>
    <t>Цена конверсии</t>
  </si>
  <si>
    <t>CPA</t>
  </si>
  <si>
    <t>Бюджет ÷ конверсии</t>
  </si>
  <si>
    <t>Итого бюджет без НДС</t>
  </si>
  <si>
    <t>Net</t>
  </si>
  <si>
    <t>Бюджет с НДС ÷ 1,22</t>
  </si>
  <si>
    <t>НДС 22%</t>
  </si>
  <si>
    <t>VAT</t>
  </si>
  <si>
    <t>Бюджет с НДС − бюджет без НДС</t>
  </si>
  <si>
    <t>Итого бюджет с НДС</t>
  </si>
  <si>
    <t>Gross</t>
  </si>
  <si>
    <t>Итог бюджета из таблицы контекста</t>
  </si>
  <si>
    <t>Заказы  ÷ клики</t>
  </si>
  <si>
    <t>Итог показов</t>
  </si>
  <si>
    <t>Итог кликов</t>
  </si>
  <si>
    <t>показы ÷ охват</t>
  </si>
  <si>
    <t>Freq.</t>
  </si>
  <si>
    <t>Частота</t>
  </si>
  <si>
    <t>бюджет ÷ клики</t>
  </si>
  <si>
    <t>клики ÷ показы</t>
  </si>
  <si>
    <t>(min + max) ÷ 2</t>
  </si>
  <si>
    <t>Reach</t>
  </si>
  <si>
    <t>Охват</t>
  </si>
  <si>
    <t>Audience</t>
  </si>
  <si>
    <t>Аудитория</t>
  </si>
  <si>
    <t>Budget</t>
  </si>
  <si>
    <t>Формула</t>
  </si>
  <si>
    <t>Новичок</t>
  </si>
  <si>
    <t>После пересорта</t>
  </si>
  <si>
    <t>не суммируем</t>
  </si>
  <si>
    <t>Result</t>
  </si>
  <si>
    <t>20 действий на сегмент</t>
  </si>
  <si>
    <t>Сводные показатели:</t>
  </si>
  <si>
    <t xml:space="preserve">Общее количество показов </t>
  </si>
  <si>
    <t xml:space="preserve">Общее количество кликов  </t>
  </si>
  <si>
    <t xml:space="preserve">Средний CTR % </t>
  </si>
  <si>
    <t>Средний CPC (цена за клик)</t>
  </si>
  <si>
    <t>Итого бюджет , без НДС</t>
  </si>
  <si>
    <t>Итого бюджет , с НДС</t>
  </si>
  <si>
    <t>Прогноз, с НДС</t>
  </si>
  <si>
    <t>№</t>
  </si>
  <si>
    <t>Рекламная кампания</t>
  </si>
  <si>
    <t>Рекламная система</t>
  </si>
  <si>
    <t xml:space="preserve">Описание </t>
  </si>
  <si>
    <t>Гео</t>
  </si>
  <si>
    <t xml:space="preserve">Формат </t>
  </si>
  <si>
    <t>Вид ротации</t>
  </si>
  <si>
    <t>Период</t>
  </si>
  <si>
    <t xml:space="preserve">Единица измерения стоимости размещения </t>
  </si>
  <si>
    <t>Стоимость CPC по прогнозатору (без НДС)</t>
  </si>
  <si>
    <t>Итого стоимость по прайс-листу, без НДС</t>
  </si>
  <si>
    <t xml:space="preserve"> НДС, 22%</t>
  </si>
  <si>
    <t>Итоговая стоимость с НДС (бюджет)</t>
  </si>
  <si>
    <t>% конверсии</t>
  </si>
  <si>
    <t>Кол-во конверсий</t>
  </si>
  <si>
    <t>Контекстная реклама в Yandex.Direct. Поиск</t>
  </si>
  <si>
    <t>Яндекс.Директ Поиск</t>
  </si>
  <si>
    <t xml:space="preserve">Текстовые объявления </t>
  </si>
  <si>
    <t>динамика</t>
  </si>
  <si>
    <t>мес</t>
  </si>
  <si>
    <t>клик</t>
  </si>
  <si>
    <t>Таргетированная реклама во «ВКонтакте»</t>
  </si>
  <si>
    <t>ВКонтакте</t>
  </si>
  <si>
    <t>ПромоCTA/Карусель/Сторис</t>
  </si>
  <si>
    <t xml:space="preserve">Итого: </t>
  </si>
  <si>
    <t>Стоимость и услуги</t>
  </si>
  <si>
    <t>без НДС</t>
  </si>
  <si>
    <t>НДС</t>
  </si>
  <si>
    <t>с НДС</t>
  </si>
  <si>
    <t>Рекламный бюджет:</t>
  </si>
  <si>
    <t>Аналитика, настройка и сопровождение</t>
  </si>
  <si>
    <t>Итого:</t>
  </si>
  <si>
    <t>Обоснование бюджета:</t>
  </si>
  <si>
    <t>VK Реклама: формулы и решения по 2 сегментам</t>
  </si>
  <si>
    <t>Бюджет в день</t>
  </si>
  <si>
    <t>из VK-кабинета</t>
  </si>
  <si>
    <t>Минимум действий</t>
  </si>
  <si>
    <t>Test result</t>
  </si>
  <si>
    <t>Конверсии / результат</t>
  </si>
  <si>
    <t>целевое действие сегмента</t>
  </si>
  <si>
    <t>результат ÷ клики</t>
  </si>
  <si>
    <t>не сводим</t>
  </si>
  <si>
    <t>Цена результата</t>
  </si>
  <si>
    <t>CPA / CPR</t>
  </si>
  <si>
    <t>бюджет ÷ результат</t>
  </si>
  <si>
    <t>Бюджет без НДС</t>
  </si>
  <si>
    <t>Бюджет с НДС</t>
  </si>
  <si>
    <t>Источник: домашки VK + учебные материалы. Новичок: цель «Отправка сообщения», аудитория ~278 тыс.; После пересорта: цель «Клики по рекламе», аудитория ~278 тыс. Бюджет: 300 ₽/день на сегмент; планирование бюджета VK — от стоимости не менее 20 целевых действий.</t>
  </si>
  <si>
    <t>Блок А. Подготовка — до денег</t>
  </si>
  <si>
    <t>В Метрике создаём и проверяем цели:
просмотр карточки сорта;
добавление в корзину;
начало оформления;
заказ оформлен;
оплаченный заказ, если передача оплаты технически доступна.
Один раз проходим путь клиента сами: реклама → посадочная → товар → корзина → оформление.
На каждом действии проверяем, сработала ли цель.
Для каждой кампании создаём отдельную метку. По ней потом увидим источник, сегмент, объявление и конкретный текст.
В таблице создаём лист «Т0. Прогноз до запуска». В нём для каждой связки будут:
система;
сегмент или поисковая группа;
посадочная;
прогнозный CPC;
целевое действие;
нужное число кликов или действий;
формула бюджета;
дата прогноза;
скрин прогноза из кабинета.
Ни одной цифры «из головы» в этом листе не будет.</t>
  </si>
  <si>
    <t>Блок Б. Директ — семь дней</t>
  </si>
  <si>
    <t>Открываем «Режим эксперта».
Создаём единую перфоманс-кампанию.
В местах показа оставляем поиск.
Создаём не более двух групп — только те, для которых прогноз позволяет получить 100 кликов в пределах тестового потолка.
На уровне групп ставим Россию, ключи конкретной группы и наш список минус-слов.
В первую неделю используем стратегию сбора кликов с ограничением средней цены клика. Не включаем оптимизацию на заказы, пока их ещё нет в объёме для обучения.
В аналитике подключаем цели Метрики.
Запускаем на семь календарных дней без переписывания объявлений и смены цели.</t>
  </si>
  <si>
    <t>Яндекс прямо рекомендует проводить эксперимент не меньше недели, чтобы накопилась статистика для корректной оценки.</t>
  </si>
  <si>
    <t>Результат Директа через неделю:
по каждой группе: показы, клики, CTR, CPC, добавления в корзину, начала оформления, заказы, цена каждого действия.</t>
  </si>
  <si>
    <t>Блок В. VK — семь дней</t>
  </si>
  <si>
    <t>Результат VK через неделю:
охват, показы, частота, CTR, CPC, цена результата, переходы на посадочную, действия на сайте и заказы.</t>
  </si>
  <si>
    <t>Не по двум дням и не по настроению.</t>
  </si>
  <si>
    <t>Технический провал</t>
  </si>
  <si>
    <t>Стоп сразу, исправляем и запускаем тест заново:
ссылка ведёт не туда;
Метрика не фиксирует цель;
метка не передаётся;
объявление не откручивается;
кампания тратит деньги, но в статистике нет связанного трафика.
Это не провал текста. Это поломка измерения.</t>
  </si>
  <si>
    <t>Недостаточная выборка</t>
  </si>
  <si>
    <t>Если не набрали 100 кликов в Директе или 20 действий в VK, объявление не называем «мёртвым». У него просто недостаточно данных.
Тогда проверяем не текст, а причину доставки: слишком узкая аудитория, слишком низкий лимит, слишком дорогой прогноз, пересечение аудиторий, слабый спрос по группе.</t>
  </si>
  <si>
    <t>Слабая связка</t>
  </si>
  <si>
    <t>После достижения минимального объёма:
есть клики или сообщения, но нет ни одного глубокого действия на сайте — меняем один элемент: либо текст, либо визуал, либо посадочную;
есть корзина и начало оформления, но нет заказа — проблема не в креативе, сначала проверяем корзину, доставку, оплату и путь оформления;
есть заказы, но цена выше допустимой — не рубим сразу: собираем до 25 конверсий, чтобы не спутать закономерность со случайным скачком.</t>
  </si>
  <si>
    <t>После первого круга не перезапускаем всё сразу.
Оставляем только два сегмента с лучшим качеством трафика.
Дублируем их кампании.
В версии B меняем только один элемент:
или заголовок и смысл текста;
или визуал;
но не оба одновременно.
Каждой новой версии снова даём 20 действий в VK или 100 кликов в Директе.
Сравниваем не только CTR, а всю цепочку до корзины и заказа.
Победителю повышаем бюджет постепенно на 10–20%, контролируя, не поползла ли вверх цена результата. Это прямо указано в учебном материале по аналитике VK.</t>
  </si>
  <si>
    <t>Создаём две отдельные кампании: по одной на сегмент.
В каждую ставим только вариант А: один текст и один визуал.
Не включаем автоматическое перераспределение между сегментами: нам важно, чтобы каждый сегмент получил свои 20 действий, а не чтобы система съела бюджет одним ранним фаворитом. Это наше решение на основе правила о бюджетах на уровне групп.
Для каждой кампании ставим дневной лимит:
бюджет сегмента ÷ 7 дней.
В первый день проверяем доставку и переходы, но не оцениваем эффективность.
Со второго по седьмой день не меняем тексты, изображения, цели, географию и аудитории.</t>
  </si>
  <si>
    <t>VK в этом медиаплане проверяет не поисковый спрос, а качество связки: сегмент → смысл объявления → визуал → посадочная → действие пользователя.</t>
  </si>
  <si>
    <t>В Директе человек уже сам ищет розы.
В VK человек может быть в нужной аудитории, но ещё не находиться в моменте покупки. Поэтому здесь мы не начинаем с вывода «сколько заказов даст реклама». Сначала проверяем, какая аудитория вообще откликается на предложение питомника и доходит дальше клика.</t>
  </si>
  <si>
    <t>В текущем расчёте у нас есть две проверяемые связки: «Новичок» и «После пересорта». Остальные сегменты в этот расчёт не добавляем, потому что по ним сейчас нет прогнозных данных в таблице. Значит, первый круг VK считаем не по всему рынку, а по двум сегментам, где уже есть цифры из кабинета.</t>
  </si>
  <si>
    <t>3. Берём в тест по поиску</t>
  </si>
  <si>
    <t>4. Берём в тест по РСЯ</t>
  </si>
  <si>
    <t>5. РК VK</t>
  </si>
  <si>
    <t>6. КАК БУДЕТ ВЫГЛЯДЕТЬ ТЕСТ</t>
  </si>
  <si>
    <t>7. КОГДА МЫ СЧИТАЕМ СВЯЗКУ СЛАБОЙ</t>
  </si>
  <si>
    <t>8. ПЛАН Б ДЛЯ ТЕКСТОВ И КРЕАТИВОВ</t>
  </si>
  <si>
    <t>Минимум для первого круга VK — 2 сегмента × 20 действий = 40 действий. Не 12 креативов одновременно. На первом круге у каждого сегмента будет только один сильный вариант А: один текст, один визуал, одна посадочная. Иначе мы размажем статистику тонким слоем по экрану.</t>
  </si>
  <si>
    <t>Период теста</t>
  </si>
  <si>
    <t>Поиск по горячим запросам: пользователь уже ищет розы и саженцы; ведём на релевантные страницы каталога.</t>
  </si>
  <si>
    <t>Сегмент «После пересорта»: проверяем доверие и переходы на сайт.</t>
  </si>
  <si>
    <t>дней</t>
  </si>
  <si>
    <t>Сегмент «Новичок»: мягкий вход через сообщение и консультацию.</t>
  </si>
  <si>
    <t>Сводные показатели для шаблона</t>
  </si>
  <si>
    <t>1 150 кликов — прогноз при дневном бюджете 300 ₽/день.
Если тест ставим на 7 дней, то:
клики: 1 150 × 7 = 8 050
охват: 13 500 × 7 = 94 500 как прогноз контактов за период
показы: 16 500 × 7 = 115 500
бюджет: 300 × 7 = 2 100 ₽
Официально это тоже бьётся: прогнозатор VK учитывает бюджет кампании и даёт прогноз кликов, показов и охвата до старта; значит мы можем использовать эти значения как прогнозную модель, если честно подписываем, что это прогноз VK-кабинета, а не факт открутки.</t>
  </si>
  <si>
    <t>Бюджет рассчитан как первый тестовый запуск.
На старте мы не расходуем весь рекламный фонд сразу: сначала проверяем три связки — поиск в Яндекс Директе, VK-клики для сегмента «После пересорта» и VK-сообщения для сегмента «Новичок».
Цель теста — получить первые рабочие данные: CTR, CPC, цену результата и качество целевых действий. После этого бюджет масштабируется не «по плану на бумаге», а на те связки, которые подтвердили себя цифрами.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</si>
</sst>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#,##0\ &quot;₽&quot;;[Red]\-#,##0\ &quot;₽&quot;"/>
    <numFmt numFmtId="8" formatCode="#,##0.00\ &quot;₽&quot;;[Red]\-#,##0.00\ &quot;₽&quot;"/>
    <numFmt numFmtId="164" formatCode="0.00\ \₽"/>
    <numFmt numFmtId="165" formatCode="#,##0.00\ \₽"/>
    <numFmt numFmtId="166" formatCode="#,##0.00\ &quot;₽&quot;"/>
    <numFmt numFmtId="167" formatCode="#,##0.0\ &quot;₽&quot;;[Red]\-#,##0.0\ &quot;₽&quot;"/>
    <numFmt numFmtId="168" formatCode="#,##0.0\ &quot;₽&quot;"/>
    <numFmt numFmtId="169" formatCode="#,##0.0\ \₽"/>
    <numFmt numFmtId="170" formatCode="#\ ##0"/>
    <numFmt numFmtId="171" formatCode="#\ ##,000\ \₽"/>
    <numFmt numFmtId="172" formatCode="#,##0[$р.-419]"/>
    <numFmt numFmtId="173" formatCode="#,##0.00&quot;р.&quot;"/>
    <numFmt numFmtId="174" formatCode="#,##0.00\р."/>
    <numFmt numFmtId="175" formatCode="_-* #,##0&quot;р.&quot;_-;\-* #,##0&quot;р.&quot;_-;_-* &quot;-&quot;??&quot;р.&quot;_-;_-@"/>
    <numFmt numFmtId="176" formatCode="#,##0.00&quot; ₽&quot;"/>
  </numFmts>
  <fonts count="63">
    <font>
      <sz val="11"/>
      <name val="Carlito"/>
    </font>
    <font>
      <b/>
      <sz val="18"/>
      <color rgb="FFFFFFFF"/>
      <name val="Calibri"/>
      <family val="2"/>
      <charset val="204"/>
    </font>
    <font>
      <b/>
      <sz val="13"/>
      <color rgb="FFFFFFFF"/>
      <name val="Calibri"/>
      <family val="2"/>
      <charset val="204"/>
    </font>
    <font>
      <b/>
      <sz val="10"/>
      <color rgb="FF0E1F2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0"/>
      <color rgb="FF003742"/>
      <name val="Calibri"/>
      <family val="2"/>
      <charset val="204"/>
    </font>
    <font>
      <sz val="10"/>
      <color rgb="FF0E1F26"/>
      <name val="Calibri"/>
      <family val="2"/>
      <charset val="204"/>
    </font>
    <font>
      <sz val="10"/>
      <color rgb="FF0E1F26"/>
      <name val="Calibri"/>
      <family val="2"/>
      <charset val="204"/>
    </font>
    <font>
      <b/>
      <sz val="9"/>
      <color rgb="FF003742"/>
      <name val="Calibri"/>
      <family val="2"/>
      <charset val="204"/>
    </font>
    <font>
      <sz val="9"/>
      <color rgb="FF0E1F26"/>
      <name val="Calibri"/>
      <family val="2"/>
      <charset val="204"/>
    </font>
    <font>
      <b/>
      <sz val="9"/>
      <color rgb="FFFFFFFF"/>
      <name val="Calibri"/>
      <family val="2"/>
      <charset val="204"/>
    </font>
    <font>
      <sz val="11"/>
      <name val="Carlito"/>
    </font>
    <font>
      <i/>
      <sz val="10"/>
      <color rgb="FF0E1F26"/>
      <name val="Calibri"/>
      <family val="2"/>
      <charset val="204"/>
    </font>
    <font>
      <b/>
      <sz val="14"/>
      <color rgb="FFFFFFFF"/>
      <name val="Carlito"/>
    </font>
    <font>
      <i/>
      <sz val="10"/>
      <color rgb="FF000000"/>
      <name val="Carlito"/>
    </font>
    <font>
      <b/>
      <sz val="11"/>
      <color rgb="FFFFFFFF"/>
      <name val="Carlito"/>
    </font>
    <font>
      <sz val="11"/>
      <color rgb="FF000000"/>
      <name val="Carlito"/>
    </font>
    <font>
      <i/>
      <sz val="9"/>
      <color rgb="FF000000"/>
      <name val="Calibri"/>
      <family val="2"/>
      <charset val="204"/>
    </font>
    <font>
      <i/>
      <sz val="9"/>
      <name val="Calibri"/>
      <family val="2"/>
      <charset val="204"/>
    </font>
    <font>
      <sz val="10"/>
      <name val="Calibri"/>
      <family val="2"/>
      <charset val="204"/>
    </font>
    <font>
      <b/>
      <sz val="11"/>
      <color rgb="FF0563C1"/>
      <name val="Carlito"/>
    </font>
    <font>
      <b/>
      <sz val="11"/>
      <color rgb="FFFFFFFF"/>
      <name val="Calibri"/>
      <family val="2"/>
      <charset val="204"/>
    </font>
    <font>
      <i/>
      <sz val="11"/>
      <color rgb="FF0C343D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FFFFFF"/>
      <name val="Carlito"/>
    </font>
    <font>
      <b/>
      <sz val="8"/>
      <color rgb="FF003742"/>
      <name val="Carlito"/>
    </font>
    <font>
      <b/>
      <sz val="8"/>
      <color rgb="FF003742"/>
      <name val="Calibri"/>
      <family val="2"/>
      <charset val="204"/>
      <scheme val="minor"/>
    </font>
    <font>
      <sz val="8"/>
      <color rgb="FF0E1F26"/>
      <name val="Calibri"/>
      <family val="2"/>
      <charset val="204"/>
      <scheme val="minor"/>
    </font>
    <font>
      <sz val="10"/>
      <color indexed="64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indexed="60"/>
      <name val="Times New Roman"/>
      <family val="1"/>
      <charset val="204"/>
    </font>
    <font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indexed="60"/>
      <name val="Calibri"/>
      <family val="2"/>
      <charset val="204"/>
    </font>
    <font>
      <b/>
      <sz val="14"/>
      <color theme="0"/>
      <name val="Calibri"/>
      <family val="2"/>
      <charset val="204"/>
    </font>
    <font>
      <b/>
      <sz val="14"/>
      <color rgb="FF0C343D"/>
      <name val="Calibri"/>
      <family val="2"/>
      <charset val="204"/>
    </font>
    <font>
      <b/>
      <sz val="14"/>
      <color indexed="65"/>
      <name val="Calibri"/>
      <family val="2"/>
      <charset val="204"/>
    </font>
    <font>
      <sz val="14"/>
      <color indexed="64"/>
      <name val="Calibri"/>
      <family val="2"/>
      <charset val="204"/>
    </font>
    <font>
      <sz val="14"/>
      <color indexed="64"/>
      <name val="Times New Roman"/>
      <family val="1"/>
      <charset val="204"/>
    </font>
    <font>
      <u/>
      <sz val="14"/>
      <color indexed="4"/>
      <name val="Calibri"/>
      <family val="2"/>
      <charset val="204"/>
    </font>
    <font>
      <b/>
      <sz val="14"/>
      <color indexed="2"/>
      <name val="Calibri"/>
      <family val="2"/>
      <charset val="204"/>
    </font>
    <font>
      <sz val="14"/>
      <color indexed="60"/>
      <name val="Calibri"/>
      <family val="2"/>
      <charset val="204"/>
    </font>
    <font>
      <b/>
      <sz val="14"/>
      <color indexed="64"/>
      <name val="Calibri"/>
      <family val="2"/>
      <charset val="204"/>
    </font>
    <font>
      <sz val="14"/>
      <color indexed="63"/>
      <name val="Calibri"/>
      <family val="2"/>
      <charset val="204"/>
    </font>
    <font>
      <sz val="14"/>
      <color indexed="63"/>
      <name val="Times New Roman"/>
      <family val="1"/>
      <charset val="204"/>
    </font>
    <font>
      <b/>
      <sz val="9"/>
      <color rgb="FF003844"/>
      <name val="Calibri"/>
      <family val="2"/>
      <charset val="204"/>
    </font>
    <font>
      <b/>
      <sz val="9"/>
      <color rgb="FF003844"/>
      <name val="Carlito"/>
    </font>
    <font>
      <b/>
      <sz val="8"/>
      <color rgb="FF002B33"/>
      <name val="Calibri"/>
      <family val="2"/>
      <charset val="204"/>
    </font>
    <font>
      <sz val="8"/>
      <color rgb="FF002B33"/>
      <name val="Carlito"/>
    </font>
    <font>
      <b/>
      <i/>
      <sz val="8"/>
      <color rgb="FF002B33"/>
      <name val="Calibri"/>
      <family val="2"/>
      <charset val="204"/>
    </font>
    <font>
      <b/>
      <sz val="8"/>
      <color rgb="FF002B33"/>
      <name val="Carlito"/>
    </font>
    <font>
      <sz val="8"/>
      <color rgb="FF002B33"/>
      <name val="Calibri"/>
      <family val="2"/>
      <charset val="204"/>
    </font>
    <font>
      <b/>
      <i/>
      <sz val="8"/>
      <color rgb="FF002B33"/>
      <name val="Carlito"/>
    </font>
    <font>
      <i/>
      <sz val="8"/>
      <color rgb="FF31525C"/>
      <name val="Carlito"/>
    </font>
    <font>
      <sz val="8"/>
      <color rgb="FF002B33"/>
      <name val="Carlito"/>
      <charset val="204"/>
    </font>
    <font>
      <i/>
      <sz val="8"/>
      <color rgb="FF002B33"/>
      <name val="Carlito"/>
      <charset val="204"/>
    </font>
    <font>
      <b/>
      <sz val="10"/>
      <color rgb="FF062F38"/>
      <name val="Carlito"/>
    </font>
    <font>
      <b/>
      <sz val="14"/>
      <color rgb="FF073B46"/>
      <name val="Carlito"/>
    </font>
    <font>
      <sz val="10"/>
      <color rgb="FF1F2933"/>
      <name val="Carlito"/>
    </font>
    <font>
      <b/>
      <sz val="11"/>
      <color rgb="FFFFFFFF"/>
      <name val="Calibri"/>
      <family val="2"/>
      <charset val="204"/>
      <scheme val="minor"/>
    </font>
    <font>
      <sz val="10"/>
      <color rgb="FF003742"/>
      <name val="Calibri"/>
      <family val="2"/>
      <charset val="204"/>
    </font>
    <font>
      <sz val="11"/>
      <name val="Carlito"/>
      <charset val="204"/>
    </font>
  </fonts>
  <fills count="31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004B5A"/>
      </patternFill>
    </fill>
    <fill>
      <patternFill patternType="solid">
        <fgColor rgb="FFDCEEF4"/>
      </patternFill>
    </fill>
    <fill>
      <patternFill patternType="solid">
        <fgColor rgb="FFFFFFFF"/>
      </patternFill>
    </fill>
    <fill>
      <patternFill patternType="solid">
        <fgColor rgb="FFF2F8FA"/>
      </patternFill>
    </fill>
    <fill>
      <patternFill patternType="solid">
        <fgColor rgb="FF073B46"/>
      </patternFill>
    </fill>
    <fill>
      <patternFill patternType="solid">
        <fgColor rgb="FFEAF3F6"/>
      </patternFill>
    </fill>
    <fill>
      <patternFill patternType="solid">
        <fgColor rgb="FF45B8BE"/>
      </patternFill>
    </fill>
    <fill>
      <patternFill patternType="solid">
        <fgColor rgb="FFD7E7ED"/>
      </patternFill>
    </fill>
    <fill>
      <patternFill patternType="solid">
        <fgColor rgb="FF0C343D"/>
      </patternFill>
    </fill>
    <fill>
      <patternFill patternType="solid">
        <fgColor rgb="FFD7E7ED"/>
      </patternFill>
    </fill>
    <fill>
      <patternFill patternType="solid">
        <fgColor rgb="FFF5FAFD"/>
      </patternFill>
    </fill>
    <fill>
      <patternFill patternType="solid">
        <fgColor rgb="FF004B5A"/>
      </patternFill>
    </fill>
    <fill>
      <patternFill patternType="solid">
        <fgColor rgb="FFDCEEF4"/>
      </patternFill>
    </fill>
    <fill>
      <patternFill patternType="solid">
        <fgColor rgb="FFF2F8FA"/>
      </patternFill>
    </fill>
    <fill>
      <patternFill patternType="solid">
        <fgColor indexed="65"/>
      </patternFill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rgb="FF004D5A"/>
      </patternFill>
    </fill>
    <fill>
      <patternFill patternType="solid">
        <fgColor rgb="FFD7EBF0"/>
      </patternFill>
    </fill>
    <fill>
      <patternFill patternType="solid">
        <fgColor rgb="FFEDF6F8"/>
      </patternFill>
    </fill>
    <fill>
      <patternFill patternType="solid">
        <fgColor rgb="FFE8F2F5"/>
      </patternFill>
    </fill>
    <fill>
      <patternFill patternType="solid">
        <fgColor rgb="FF073B46"/>
        <bgColor rgb="FFFFFFFF"/>
      </patternFill>
    </fill>
    <fill>
      <patternFill patternType="solid">
        <fgColor rgb="FF000000"/>
        <bgColor rgb="FFFFFFFF"/>
      </patternFill>
    </fill>
    <fill>
      <patternFill patternType="solid">
        <fgColor rgb="FFD7E7E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F3F6"/>
        <bgColor rgb="FFFFFFFF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3"/>
    <xf numFmtId="0" fontId="11" fillId="0" borderId="3"/>
    <xf numFmtId="0" fontId="11" fillId="0" borderId="3"/>
    <xf numFmtId="0" fontId="28" fillId="0" borderId="19"/>
    <xf numFmtId="0" fontId="11" fillId="0" borderId="19"/>
    <xf numFmtId="0" fontId="11" fillId="0" borderId="19"/>
    <xf numFmtId="0" fontId="11" fillId="0" borderId="19"/>
    <xf numFmtId="0" fontId="11" fillId="0" borderId="19"/>
    <xf numFmtId="0" fontId="11" fillId="0" borderId="19"/>
    <xf numFmtId="0" fontId="11" fillId="0" borderId="19"/>
  </cellStyleXfs>
  <cellXfs count="305">
    <xf numFmtId="0" fontId="0" fillId="0" borderId="0" xfId="0" applyBorder="1"/>
    <xf numFmtId="0" fontId="0" fillId="2" borderId="0" xfId="1" applyFont="1" applyFill="1" applyBorder="1"/>
    <xf numFmtId="0" fontId="7" fillId="2" borderId="0" xfId="1" applyFont="1" applyFill="1" applyBorder="1" applyAlignment="1">
      <alignment vertical="top" wrapText="1"/>
    </xf>
    <xf numFmtId="0" fontId="11" fillId="0" borderId="2" xfId="2" applyBorder="1"/>
    <xf numFmtId="0" fontId="11" fillId="0" borderId="2" xfId="2" applyBorder="1" applyAlignment="1">
      <alignment wrapText="1"/>
    </xf>
    <xf numFmtId="0" fontId="15" fillId="9" borderId="2" xfId="2" applyFont="1" applyFill="1" applyBorder="1" applyAlignment="1">
      <alignment horizontal="center" vertical="center" wrapText="1"/>
    </xf>
    <xf numFmtId="0" fontId="16" fillId="10" borderId="2" xfId="2" applyFont="1" applyFill="1" applyBorder="1" applyAlignment="1">
      <alignment vertical="center" wrapText="1"/>
    </xf>
    <xf numFmtId="2" fontId="16" fillId="10" borderId="2" xfId="2" applyNumberFormat="1" applyFont="1" applyFill="1" applyBorder="1" applyAlignment="1">
      <alignment vertical="center" wrapText="1"/>
    </xf>
    <xf numFmtId="0" fontId="16" fillId="5" borderId="2" xfId="2" applyFont="1" applyFill="1" applyBorder="1" applyAlignment="1">
      <alignment vertical="center" wrapText="1"/>
    </xf>
    <xf numFmtId="2" fontId="16" fillId="5" borderId="2" xfId="2" applyNumberFormat="1" applyFont="1" applyFill="1" applyBorder="1" applyAlignment="1">
      <alignment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center" vertical="center" wrapText="1"/>
    </xf>
    <xf numFmtId="8" fontId="17" fillId="10" borderId="2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166" fontId="18" fillId="0" borderId="0" xfId="0" applyNumberFormat="1" applyFont="1" applyBorder="1" applyAlignment="1">
      <alignment horizontal="center" vertical="center"/>
    </xf>
    <xf numFmtId="164" fontId="18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 wrapText="1"/>
    </xf>
    <xf numFmtId="0" fontId="23" fillId="13" borderId="4" xfId="0" applyFont="1" applyFill="1" applyBorder="1" applyAlignment="1">
      <alignment vertical="top" wrapText="1"/>
    </xf>
    <xf numFmtId="3" fontId="23" fillId="13" borderId="4" xfId="0" applyNumberFormat="1" applyFont="1" applyFill="1" applyBorder="1" applyAlignment="1">
      <alignment vertical="top" wrapText="1"/>
    </xf>
    <xf numFmtId="10" fontId="23" fillId="13" borderId="4" xfId="0" applyNumberFormat="1" applyFont="1" applyFill="1" applyBorder="1" applyAlignment="1">
      <alignment vertical="top" wrapText="1"/>
    </xf>
    <xf numFmtId="4" fontId="23" fillId="13" borderId="4" xfId="0" applyNumberFormat="1" applyFont="1" applyFill="1" applyBorder="1" applyAlignment="1">
      <alignment vertical="top" wrapText="1"/>
    </xf>
    <xf numFmtId="0" fontId="23" fillId="12" borderId="4" xfId="0" applyFont="1" applyFill="1" applyBorder="1" applyAlignment="1">
      <alignment vertical="top" wrapText="1"/>
    </xf>
    <xf numFmtId="3" fontId="23" fillId="12" borderId="4" xfId="0" applyNumberFormat="1" applyFont="1" applyFill="1" applyBorder="1" applyAlignment="1">
      <alignment vertical="top" wrapText="1"/>
    </xf>
    <xf numFmtId="10" fontId="23" fillId="12" borderId="4" xfId="0" applyNumberFormat="1" applyFont="1" applyFill="1" applyBorder="1" applyAlignment="1">
      <alignment vertical="top" wrapText="1"/>
    </xf>
    <xf numFmtId="4" fontId="23" fillId="12" borderId="4" xfId="0" applyNumberFormat="1" applyFont="1" applyFill="1" applyBorder="1" applyAlignment="1">
      <alignment vertical="top" wrapText="1"/>
    </xf>
    <xf numFmtId="0" fontId="21" fillId="11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21" fillId="11" borderId="4" xfId="0" applyNumberFormat="1" applyFont="1" applyFill="1" applyBorder="1" applyAlignment="1">
      <alignment horizontal="center" vertical="center"/>
    </xf>
    <xf numFmtId="10" fontId="21" fillId="11" borderId="4" xfId="0" applyNumberFormat="1" applyFont="1" applyFill="1" applyBorder="1" applyAlignment="1">
      <alignment horizontal="center" vertical="center"/>
    </xf>
    <xf numFmtId="4" fontId="21" fillId="11" borderId="4" xfId="0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vertical="top" wrapText="1"/>
    </xf>
    <xf numFmtId="3" fontId="23" fillId="0" borderId="4" xfId="0" applyNumberFormat="1" applyFont="1" applyBorder="1" applyAlignment="1">
      <alignment vertical="top" wrapText="1"/>
    </xf>
    <xf numFmtId="4" fontId="23" fillId="0" borderId="4" xfId="0" applyNumberFormat="1" applyFont="1" applyBorder="1" applyAlignment="1">
      <alignment vertical="top" wrapText="1"/>
    </xf>
    <xf numFmtId="0" fontId="23" fillId="0" borderId="5" xfId="0" applyFont="1" applyBorder="1"/>
    <xf numFmtId="0" fontId="8" fillId="4" borderId="5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vertical="center" wrapText="1"/>
    </xf>
    <xf numFmtId="0" fontId="9" fillId="5" borderId="5" xfId="1" applyFont="1" applyFill="1" applyBorder="1" applyAlignment="1">
      <alignment horizontal="center" vertical="center" wrapText="1"/>
    </xf>
    <xf numFmtId="4" fontId="9" fillId="5" borderId="5" xfId="0" applyNumberFormat="1" applyFont="1" applyFill="1" applyBorder="1" applyAlignment="1">
      <alignment horizontal="center" vertical="center" wrapText="1"/>
    </xf>
    <xf numFmtId="10" fontId="9" fillId="5" borderId="5" xfId="0" applyNumberFormat="1" applyFont="1" applyFill="1" applyBorder="1" applyAlignment="1">
      <alignment horizontal="center" vertical="center" wrapText="1"/>
    </xf>
    <xf numFmtId="164" fontId="9" fillId="5" borderId="5" xfId="0" applyNumberFormat="1" applyFont="1" applyFill="1" applyBorder="1" applyAlignment="1">
      <alignment horizontal="center" vertical="center" wrapText="1"/>
    </xf>
    <xf numFmtId="0" fontId="9" fillId="6" borderId="5" xfId="1" applyFont="1" applyFill="1" applyBorder="1" applyAlignment="1">
      <alignment vertical="center" wrapText="1"/>
    </xf>
    <xf numFmtId="0" fontId="9" fillId="6" borderId="5" xfId="1" applyFont="1" applyFill="1" applyBorder="1" applyAlignment="1">
      <alignment horizontal="center" vertical="center" wrapText="1"/>
    </xf>
    <xf numFmtId="4" fontId="9" fillId="6" borderId="5" xfId="0" applyNumberFormat="1" applyFont="1" applyFill="1" applyBorder="1" applyAlignment="1">
      <alignment horizontal="center" vertical="center" wrapText="1"/>
    </xf>
    <xf numFmtId="10" fontId="9" fillId="6" borderId="5" xfId="0" applyNumberFormat="1" applyFont="1" applyFill="1" applyBorder="1" applyAlignment="1">
      <alignment horizontal="center" vertical="center" wrapText="1"/>
    </xf>
    <xf numFmtId="164" fontId="9" fillId="6" borderId="5" xfId="0" applyNumberFormat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vertical="center" wrapText="1"/>
    </xf>
    <xf numFmtId="4" fontId="10" fillId="3" borderId="5" xfId="0" applyNumberFormat="1" applyFont="1" applyFill="1" applyBorder="1" applyAlignment="1">
      <alignment horizontal="center" vertical="center" wrapText="1"/>
    </xf>
    <xf numFmtId="10" fontId="10" fillId="3" borderId="5" xfId="0" applyNumberFormat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vertical="center" wrapText="1"/>
    </xf>
    <xf numFmtId="0" fontId="9" fillId="5" borderId="9" xfId="1" applyFont="1" applyFill="1" applyBorder="1" applyAlignment="1">
      <alignment horizontal="center" vertical="center" wrapText="1"/>
    </xf>
    <xf numFmtId="4" fontId="9" fillId="5" borderId="9" xfId="0" applyNumberFormat="1" applyFont="1" applyFill="1" applyBorder="1" applyAlignment="1">
      <alignment horizontal="center" vertical="center" wrapText="1"/>
    </xf>
    <xf numFmtId="10" fontId="9" fillId="5" borderId="9" xfId="0" applyNumberFormat="1" applyFont="1" applyFill="1" applyBorder="1" applyAlignment="1">
      <alignment horizontal="center" vertical="center" wrapText="1"/>
    </xf>
    <xf numFmtId="164" fontId="9" fillId="5" borderId="9" xfId="0" applyNumberFormat="1" applyFont="1" applyFill="1" applyBorder="1" applyAlignment="1">
      <alignment horizontal="center" vertical="center" wrapText="1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6" borderId="11" xfId="0" applyNumberFormat="1" applyFont="1" applyFill="1" applyBorder="1" applyAlignment="1">
      <alignment horizontal="center" vertical="center" wrapText="1"/>
    </xf>
    <xf numFmtId="165" fontId="9" fillId="6" borderId="12" xfId="0" applyNumberFormat="1" applyFont="1" applyFill="1" applyBorder="1" applyAlignment="1">
      <alignment horizontal="center" vertical="center" wrapText="1"/>
    </xf>
    <xf numFmtId="165" fontId="9" fillId="5" borderId="12" xfId="0" applyNumberFormat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vertical="center" wrapText="1"/>
    </xf>
    <xf numFmtId="0" fontId="9" fillId="5" borderId="14" xfId="1" applyFont="1" applyFill="1" applyBorder="1" applyAlignment="1">
      <alignment horizontal="center" vertical="center" wrapText="1"/>
    </xf>
    <xf numFmtId="4" fontId="9" fillId="5" borderId="14" xfId="0" applyNumberFormat="1" applyFont="1" applyFill="1" applyBorder="1" applyAlignment="1">
      <alignment horizontal="center" vertical="center" wrapText="1"/>
    </xf>
    <xf numFmtId="10" fontId="9" fillId="5" borderId="14" xfId="0" applyNumberFormat="1" applyFont="1" applyFill="1" applyBorder="1" applyAlignment="1">
      <alignment horizontal="center" vertical="center" wrapText="1"/>
    </xf>
    <xf numFmtId="164" fontId="9" fillId="5" borderId="14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 wrapText="1"/>
    </xf>
    <xf numFmtId="0" fontId="9" fillId="6" borderId="15" xfId="1" applyFont="1" applyFill="1" applyBorder="1" applyAlignment="1">
      <alignment vertical="center" wrapText="1"/>
    </xf>
    <xf numFmtId="0" fontId="9" fillId="6" borderId="16" xfId="1" applyFont="1" applyFill="1" applyBorder="1" applyAlignment="1">
      <alignment horizontal="center" vertical="center" wrapText="1"/>
    </xf>
    <xf numFmtId="4" fontId="9" fillId="6" borderId="16" xfId="0" applyNumberFormat="1" applyFont="1" applyFill="1" applyBorder="1" applyAlignment="1">
      <alignment horizontal="center" vertical="center" wrapText="1"/>
    </xf>
    <xf numFmtId="3" fontId="9" fillId="6" borderId="16" xfId="0" applyNumberFormat="1" applyFont="1" applyFill="1" applyBorder="1" applyAlignment="1">
      <alignment horizontal="center" vertical="center" wrapText="1"/>
    </xf>
    <xf numFmtId="10" fontId="9" fillId="6" borderId="16" xfId="0" applyNumberFormat="1" applyFont="1" applyFill="1" applyBorder="1" applyAlignment="1">
      <alignment horizontal="center" vertical="center" wrapText="1"/>
    </xf>
    <xf numFmtId="0" fontId="9" fillId="6" borderId="8" xfId="1" applyFont="1" applyFill="1" applyBorder="1" applyAlignment="1">
      <alignment vertical="center" wrapText="1"/>
    </xf>
    <xf numFmtId="0" fontId="9" fillId="6" borderId="9" xfId="1" applyFont="1" applyFill="1" applyBorder="1" applyAlignment="1">
      <alignment horizontal="center" vertical="center" wrapText="1"/>
    </xf>
    <xf numFmtId="4" fontId="9" fillId="6" borderId="9" xfId="0" applyNumberFormat="1" applyFont="1" applyFill="1" applyBorder="1" applyAlignment="1">
      <alignment horizontal="center" vertical="center" wrapText="1"/>
    </xf>
    <xf numFmtId="10" fontId="9" fillId="6" borderId="9" xfId="0" applyNumberFormat="1" applyFont="1" applyFill="1" applyBorder="1" applyAlignment="1">
      <alignment horizontal="center" vertical="center" wrapText="1"/>
    </xf>
    <xf numFmtId="164" fontId="9" fillId="6" borderId="9" xfId="0" applyNumberFormat="1" applyFont="1" applyFill="1" applyBorder="1" applyAlignment="1">
      <alignment horizontal="center" vertical="center" wrapText="1"/>
    </xf>
    <xf numFmtId="165" fontId="9" fillId="6" borderId="10" xfId="0" applyNumberFormat="1" applyFont="1" applyFill="1" applyBorder="1" applyAlignment="1">
      <alignment horizontal="center" vertical="center" wrapText="1"/>
    </xf>
    <xf numFmtId="0" fontId="9" fillId="6" borderId="13" xfId="1" applyFont="1" applyFill="1" applyBorder="1" applyAlignment="1">
      <alignment vertical="center" wrapText="1"/>
    </xf>
    <xf numFmtId="0" fontId="9" fillId="6" borderId="14" xfId="1" applyFont="1" applyFill="1" applyBorder="1" applyAlignment="1">
      <alignment horizontal="center" vertical="center" wrapText="1"/>
    </xf>
    <xf numFmtId="4" fontId="9" fillId="6" borderId="14" xfId="0" applyNumberFormat="1" applyFont="1" applyFill="1" applyBorder="1" applyAlignment="1">
      <alignment horizontal="center" vertical="center" wrapText="1"/>
    </xf>
    <xf numFmtId="10" fontId="9" fillId="6" borderId="14" xfId="0" applyNumberFormat="1" applyFont="1" applyFill="1" applyBorder="1" applyAlignment="1">
      <alignment horizontal="center" vertical="center" wrapText="1"/>
    </xf>
    <xf numFmtId="164" fontId="9" fillId="6" borderId="14" xfId="0" applyNumberFormat="1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9" fillId="5" borderId="15" xfId="1" applyFont="1" applyFill="1" applyBorder="1" applyAlignment="1">
      <alignment vertical="center" wrapText="1"/>
    </xf>
    <xf numFmtId="0" fontId="9" fillId="5" borderId="16" xfId="1" applyFont="1" applyFill="1" applyBorder="1" applyAlignment="1">
      <alignment horizontal="center" vertical="center" wrapText="1"/>
    </xf>
    <xf numFmtId="4" fontId="9" fillId="5" borderId="16" xfId="0" applyNumberFormat="1" applyFont="1" applyFill="1" applyBorder="1" applyAlignment="1">
      <alignment horizontal="center" vertical="center" wrapText="1"/>
    </xf>
    <xf numFmtId="10" fontId="9" fillId="5" borderId="16" xfId="0" applyNumberFormat="1" applyFont="1" applyFill="1" applyBorder="1" applyAlignment="1">
      <alignment horizontal="center" vertical="center" wrapText="1"/>
    </xf>
    <xf numFmtId="164" fontId="9" fillId="5" borderId="16" xfId="0" applyNumberFormat="1" applyFont="1" applyFill="1" applyBorder="1" applyAlignment="1">
      <alignment horizontal="center" vertical="center" wrapText="1"/>
    </xf>
    <xf numFmtId="165" fontId="9" fillId="5" borderId="17" xfId="0" applyNumberFormat="1" applyFont="1" applyFill="1" applyBorder="1" applyAlignment="1">
      <alignment horizontal="center" vertical="center" wrapText="1"/>
    </xf>
    <xf numFmtId="0" fontId="9" fillId="6" borderId="18" xfId="1" applyFont="1" applyFill="1" applyBorder="1" applyAlignment="1">
      <alignment vertical="center" wrapText="1"/>
    </xf>
    <xf numFmtId="168" fontId="9" fillId="6" borderId="17" xfId="0" applyNumberFormat="1" applyFont="1" applyFill="1" applyBorder="1" applyAlignment="1">
      <alignment horizontal="center" vertical="center" wrapText="1"/>
    </xf>
    <xf numFmtId="169" fontId="9" fillId="6" borderId="17" xfId="0" applyNumberFormat="1" applyFont="1" applyFill="1" applyBorder="1" applyAlignment="1">
      <alignment horizontal="center" vertical="center" wrapText="1"/>
    </xf>
    <xf numFmtId="169" fontId="9" fillId="5" borderId="12" xfId="0" applyNumberFormat="1" applyFont="1" applyFill="1" applyBorder="1" applyAlignment="1">
      <alignment horizontal="center" vertical="center" wrapText="1"/>
    </xf>
    <xf numFmtId="0" fontId="0" fillId="2" borderId="3" xfId="1" applyFont="1" applyFill="1"/>
    <xf numFmtId="0" fontId="27" fillId="16" borderId="0" xfId="0" applyFont="1" applyFill="1" applyBorder="1" applyAlignment="1">
      <alignment horizontal="center" vertical="center" wrapText="1"/>
    </xf>
    <xf numFmtId="0" fontId="27" fillId="16" borderId="0" xfId="0" applyFont="1" applyFill="1" applyBorder="1" applyAlignment="1">
      <alignment horizontal="left" vertical="center" wrapText="1"/>
    </xf>
    <xf numFmtId="0" fontId="25" fillId="15" borderId="19" xfId="0" applyFont="1" applyFill="1" applyBorder="1" applyAlignment="1">
      <alignment horizontal="center" vertical="center" wrapText="1"/>
    </xf>
    <xf numFmtId="0" fontId="26" fillId="16" borderId="19" xfId="0" applyFont="1" applyFill="1" applyBorder="1" applyAlignment="1">
      <alignment horizontal="left" vertical="center" wrapText="1"/>
    </xf>
    <xf numFmtId="0" fontId="27" fillId="16" borderId="19" xfId="0" applyFont="1" applyFill="1" applyBorder="1" applyAlignment="1">
      <alignment horizontal="center" vertical="center" wrapText="1"/>
    </xf>
    <xf numFmtId="0" fontId="27" fillId="16" borderId="19" xfId="0" applyFont="1" applyFill="1" applyBorder="1" applyAlignment="1">
      <alignment horizontal="left" vertical="center" wrapText="1"/>
    </xf>
    <xf numFmtId="3" fontId="27" fillId="16" borderId="19" xfId="0" applyNumberFormat="1" applyFont="1" applyFill="1" applyBorder="1" applyAlignment="1">
      <alignment horizontal="center" vertical="center" wrapText="1"/>
    </xf>
    <xf numFmtId="10" fontId="27" fillId="16" borderId="0" xfId="0" applyNumberFormat="1" applyFont="1" applyFill="1" applyBorder="1" applyAlignment="1">
      <alignment horizontal="center" vertical="center" wrapText="1"/>
    </xf>
    <xf numFmtId="9" fontId="27" fillId="16" borderId="0" xfId="0" applyNumberFormat="1" applyFont="1" applyFill="1" applyBorder="1" applyAlignment="1">
      <alignment horizontal="center" vertical="center" wrapText="1"/>
    </xf>
    <xf numFmtId="168" fontId="27" fillId="16" borderId="19" xfId="0" applyNumberFormat="1" applyFont="1" applyFill="1" applyBorder="1" applyAlignment="1">
      <alignment horizontal="center" vertical="center" wrapText="1"/>
    </xf>
    <xf numFmtId="166" fontId="27" fillId="16" borderId="0" xfId="0" applyNumberFormat="1" applyFont="1" applyFill="1" applyBorder="1" applyAlignment="1">
      <alignment horizontal="center" vertical="center" wrapText="1"/>
    </xf>
    <xf numFmtId="168" fontId="27" fillId="16" borderId="0" xfId="0" applyNumberFormat="1" applyFont="1" applyFill="1" applyBorder="1" applyAlignment="1">
      <alignment horizontal="center" vertical="center" wrapText="1"/>
    </xf>
    <xf numFmtId="0" fontId="29" fillId="17" borderId="19" xfId="3" applyFont="1" applyFill="1" applyAlignment="1">
      <alignment horizontal="center" vertical="center" wrapText="1"/>
    </xf>
    <xf numFmtId="0" fontId="29" fillId="17" borderId="19" xfId="3" applyFont="1" applyFill="1" applyAlignment="1">
      <alignment horizontal="left" vertical="center" wrapText="1"/>
    </xf>
    <xf numFmtId="172" fontId="29" fillId="17" borderId="19" xfId="3" applyNumberFormat="1" applyFont="1" applyFill="1" applyAlignment="1">
      <alignment horizontal="left" vertical="center" wrapText="1"/>
    </xf>
    <xf numFmtId="0" fontId="30" fillId="17" borderId="19" xfId="3" applyFont="1" applyFill="1" applyAlignment="1">
      <alignment horizontal="center" vertical="center" wrapText="1"/>
    </xf>
    <xf numFmtId="0" fontId="28" fillId="0" borderId="19" xfId="3"/>
    <xf numFmtId="0" fontId="30" fillId="17" borderId="19" xfId="3" applyFont="1" applyFill="1" applyAlignment="1">
      <alignment horizontal="left" vertical="center" wrapText="1"/>
    </xf>
    <xf numFmtId="0" fontId="31" fillId="17" borderId="19" xfId="3" applyFont="1" applyFill="1" applyAlignment="1">
      <alignment horizontal="left" vertical="center" wrapText="1"/>
    </xf>
    <xf numFmtId="0" fontId="32" fillId="17" borderId="19" xfId="3" applyFont="1" applyFill="1" applyAlignment="1">
      <alignment horizontal="center" vertical="center" wrapText="1"/>
    </xf>
    <xf numFmtId="0" fontId="32" fillId="17" borderId="19" xfId="3" applyFont="1" applyFill="1" applyAlignment="1">
      <alignment horizontal="left" vertical="center" wrapText="1"/>
    </xf>
    <xf numFmtId="0" fontId="33" fillId="17" borderId="19" xfId="3" applyFont="1" applyFill="1" applyAlignment="1">
      <alignment wrapText="1"/>
    </xf>
    <xf numFmtId="0" fontId="34" fillId="17" borderId="19" xfId="3" applyFont="1" applyFill="1" applyAlignment="1">
      <alignment horizontal="left" vertical="center" wrapText="1"/>
    </xf>
    <xf numFmtId="172" fontId="32" fillId="17" borderId="19" xfId="3" applyNumberFormat="1" applyFont="1" applyFill="1" applyAlignment="1">
      <alignment horizontal="left" vertical="center" wrapText="1"/>
    </xf>
    <xf numFmtId="0" fontId="33" fillId="17" borderId="19" xfId="3" applyFont="1" applyFill="1" applyAlignment="1">
      <alignment horizontal="center" vertical="center" wrapText="1"/>
    </xf>
    <xf numFmtId="0" fontId="35" fillId="18" borderId="24" xfId="3" applyFont="1" applyFill="1" applyBorder="1" applyAlignment="1">
      <alignment horizontal="left" vertical="center" wrapText="1"/>
    </xf>
    <xf numFmtId="3" fontId="36" fillId="19" borderId="25" xfId="3" applyNumberFormat="1" applyFont="1" applyFill="1" applyBorder="1" applyAlignment="1">
      <alignment horizontal="center" wrapText="1"/>
    </xf>
    <xf numFmtId="0" fontId="35" fillId="18" borderId="26" xfId="3" applyFont="1" applyFill="1" applyBorder="1" applyAlignment="1">
      <alignment horizontal="left" wrapText="1"/>
    </xf>
    <xf numFmtId="3" fontId="36" fillId="19" borderId="27" xfId="3" applyNumberFormat="1" applyFont="1" applyFill="1" applyBorder="1" applyAlignment="1">
      <alignment horizontal="center" wrapText="1"/>
    </xf>
    <xf numFmtId="0" fontId="35" fillId="18" borderId="26" xfId="3" applyFont="1" applyFill="1" applyBorder="1" applyAlignment="1">
      <alignment wrapText="1"/>
    </xf>
    <xf numFmtId="10" fontId="36" fillId="19" borderId="27" xfId="3" applyNumberFormat="1" applyFont="1" applyFill="1" applyBorder="1" applyAlignment="1">
      <alignment horizontal="center" wrapText="1"/>
    </xf>
    <xf numFmtId="173" fontId="36" fillId="19" borderId="27" xfId="3" applyNumberFormat="1" applyFont="1" applyFill="1" applyBorder="1" applyAlignment="1">
      <alignment horizontal="center" wrapText="1"/>
    </xf>
    <xf numFmtId="0" fontId="35" fillId="18" borderId="26" xfId="3" applyFont="1" applyFill="1" applyBorder="1" applyAlignment="1">
      <alignment horizontal="left" vertical="center" wrapText="1"/>
    </xf>
    <xf numFmtId="0" fontId="35" fillId="18" borderId="26" xfId="3" applyFont="1" applyFill="1" applyBorder="1"/>
    <xf numFmtId="0" fontId="37" fillId="18" borderId="26" xfId="3" applyFont="1" applyFill="1" applyBorder="1"/>
    <xf numFmtId="173" fontId="36" fillId="19" borderId="27" xfId="3" applyNumberFormat="1" applyFont="1" applyFill="1" applyBorder="1" applyAlignment="1">
      <alignment horizontal="center"/>
    </xf>
    <xf numFmtId="0" fontId="35" fillId="18" borderId="28" xfId="3" applyFont="1" applyFill="1" applyBorder="1"/>
    <xf numFmtId="173" fontId="36" fillId="19" borderId="29" xfId="3" applyNumberFormat="1" applyFont="1" applyFill="1" applyBorder="1" applyAlignment="1">
      <alignment horizontal="center"/>
    </xf>
    <xf numFmtId="0" fontId="38" fillId="17" borderId="19" xfId="3" applyFont="1" applyFill="1" applyAlignment="1">
      <alignment wrapText="1"/>
    </xf>
    <xf numFmtId="0" fontId="32" fillId="17" borderId="19" xfId="3" applyFont="1" applyFill="1" applyAlignment="1">
      <alignment horizontal="center" wrapText="1"/>
    </xf>
    <xf numFmtId="0" fontId="32" fillId="17" borderId="19" xfId="3" applyFont="1" applyFill="1" applyAlignment="1">
      <alignment wrapText="1"/>
    </xf>
    <xf numFmtId="174" fontId="32" fillId="17" borderId="19" xfId="3" applyNumberFormat="1" applyFont="1" applyFill="1" applyAlignment="1">
      <alignment wrapText="1"/>
    </xf>
    <xf numFmtId="0" fontId="32" fillId="17" borderId="19" xfId="3" applyFont="1" applyFill="1" applyAlignment="1">
      <alignment horizontal="right" wrapText="1"/>
    </xf>
    <xf numFmtId="174" fontId="38" fillId="17" borderId="19" xfId="3" applyNumberFormat="1" applyFont="1" applyFill="1" applyAlignment="1">
      <alignment wrapText="1"/>
    </xf>
    <xf numFmtId="0" fontId="39" fillId="17" borderId="19" xfId="3" applyFont="1" applyFill="1" applyAlignment="1">
      <alignment wrapText="1"/>
    </xf>
    <xf numFmtId="0" fontId="35" fillId="18" borderId="33" xfId="3" applyFont="1" applyFill="1" applyBorder="1" applyAlignment="1">
      <alignment horizontal="center" vertical="center" wrapText="1"/>
    </xf>
    <xf numFmtId="0" fontId="35" fillId="18" borderId="34" xfId="3" applyFont="1" applyFill="1" applyBorder="1" applyAlignment="1">
      <alignment horizontal="center" vertical="center" wrapText="1"/>
    </xf>
    <xf numFmtId="0" fontId="37" fillId="18" borderId="34" xfId="3" applyFont="1" applyFill="1" applyBorder="1" applyAlignment="1">
      <alignment horizontal="center" vertical="center" wrapText="1"/>
    </xf>
    <xf numFmtId="1" fontId="35" fillId="18" borderId="34" xfId="3" applyNumberFormat="1" applyFont="1" applyFill="1" applyBorder="1" applyAlignment="1">
      <alignment horizontal="center" vertical="center" wrapText="1"/>
    </xf>
    <xf numFmtId="1" fontId="37" fillId="18" borderId="34" xfId="3" applyNumberFormat="1" applyFont="1" applyFill="1" applyBorder="1" applyAlignment="1">
      <alignment horizontal="center" vertical="center" wrapText="1"/>
    </xf>
    <xf numFmtId="1" fontId="37" fillId="18" borderId="37" xfId="3" applyNumberFormat="1" applyFont="1" applyFill="1" applyBorder="1" applyAlignment="1">
      <alignment horizontal="center" vertical="center" wrapText="1"/>
    </xf>
    <xf numFmtId="3" fontId="37" fillId="18" borderId="36" xfId="3" applyNumberFormat="1" applyFont="1" applyFill="1" applyBorder="1" applyAlignment="1">
      <alignment horizontal="center" vertical="center" wrapText="1"/>
    </xf>
    <xf numFmtId="0" fontId="35" fillId="18" borderId="37" xfId="3" applyFont="1" applyFill="1" applyBorder="1" applyAlignment="1">
      <alignment horizontal="center" vertical="center" wrapText="1"/>
    </xf>
    <xf numFmtId="0" fontId="33" fillId="17" borderId="38" xfId="3" applyFont="1" applyFill="1" applyBorder="1" applyAlignment="1">
      <alignment horizontal="center" vertical="center" wrapText="1"/>
    </xf>
    <xf numFmtId="0" fontId="33" fillId="17" borderId="39" xfId="3" applyFont="1" applyFill="1" applyBorder="1" applyAlignment="1">
      <alignment horizontal="center" vertical="center" wrapText="1"/>
    </xf>
    <xf numFmtId="0" fontId="40" fillId="17" borderId="40" xfId="3" applyFont="1" applyFill="1" applyBorder="1" applyAlignment="1">
      <alignment horizontal="center" vertical="center" wrapText="1"/>
    </xf>
    <xf numFmtId="173" fontId="32" fillId="20" borderId="40" xfId="3" applyNumberFormat="1" applyFont="1" applyFill="1" applyBorder="1" applyAlignment="1">
      <alignment horizontal="center" vertical="center" wrapText="1"/>
    </xf>
    <xf numFmtId="3" fontId="32" fillId="0" borderId="40" xfId="3" applyNumberFormat="1" applyFont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173" fontId="32" fillId="0" borderId="40" xfId="3" applyNumberFormat="1" applyFont="1" applyBorder="1" applyAlignment="1">
      <alignment horizontal="center" vertical="center" wrapText="1"/>
    </xf>
    <xf numFmtId="173" fontId="33" fillId="20" borderId="25" xfId="3" applyNumberFormat="1" applyFont="1" applyFill="1" applyBorder="1" applyAlignment="1">
      <alignment horizontal="center" vertical="center" wrapText="1"/>
    </xf>
    <xf numFmtId="3" fontId="32" fillId="0" borderId="24" xfId="3" applyNumberFormat="1" applyFont="1" applyBorder="1" applyAlignment="1">
      <alignment horizontal="center" vertical="center" wrapText="1"/>
    </xf>
    <xf numFmtId="1" fontId="32" fillId="0" borderId="40" xfId="3" applyNumberFormat="1" applyFont="1" applyBorder="1" applyAlignment="1">
      <alignment horizontal="center" vertical="center" wrapText="1"/>
    </xf>
    <xf numFmtId="173" fontId="32" fillId="21" borderId="40" xfId="3" applyNumberFormat="1" applyFont="1" applyFill="1" applyBorder="1" applyAlignment="1">
      <alignment horizontal="center" vertical="center" wrapText="1"/>
    </xf>
    <xf numFmtId="10" fontId="32" fillId="20" borderId="40" xfId="3" applyNumberFormat="1" applyFont="1" applyFill="1" applyBorder="1" applyAlignment="1">
      <alignment horizontal="center" vertical="center" wrapText="1"/>
    </xf>
    <xf numFmtId="173" fontId="32" fillId="0" borderId="25" xfId="3" applyNumberFormat="1" applyFont="1" applyBorder="1" applyAlignment="1">
      <alignment horizontal="center" vertical="center" wrapText="1"/>
    </xf>
    <xf numFmtId="0" fontId="29" fillId="17" borderId="19" xfId="3" applyFont="1" applyFill="1" applyAlignment="1">
      <alignment wrapText="1"/>
    </xf>
    <xf numFmtId="0" fontId="33" fillId="17" borderId="41" xfId="3" applyFont="1" applyFill="1" applyBorder="1" applyAlignment="1">
      <alignment horizontal="center" vertical="center" wrapText="1"/>
    </xf>
    <xf numFmtId="0" fontId="33" fillId="17" borderId="42" xfId="3" applyFont="1" applyFill="1" applyBorder="1" applyAlignment="1">
      <alignment horizontal="center" vertical="center" wrapText="1"/>
    </xf>
    <xf numFmtId="0" fontId="40" fillId="17" borderId="43" xfId="3" applyFont="1" applyFill="1" applyBorder="1" applyAlignment="1">
      <alignment horizontal="center" vertical="center" wrapText="1"/>
    </xf>
    <xf numFmtId="173" fontId="32" fillId="20" borderId="43" xfId="3" applyNumberFormat="1" applyFont="1" applyFill="1" applyBorder="1" applyAlignment="1">
      <alignment horizontal="center" vertical="center" wrapText="1"/>
    </xf>
    <xf numFmtId="3" fontId="32" fillId="0" borderId="43" xfId="3" applyNumberFormat="1" applyFont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173" fontId="32" fillId="0" borderId="43" xfId="3" applyNumberFormat="1" applyFont="1" applyBorder="1" applyAlignment="1">
      <alignment horizontal="center" vertical="center" wrapText="1"/>
    </xf>
    <xf numFmtId="173" fontId="33" fillId="20" borderId="27" xfId="3" applyNumberFormat="1" applyFont="1" applyFill="1" applyBorder="1" applyAlignment="1">
      <alignment horizontal="center" vertical="center" wrapText="1"/>
    </xf>
    <xf numFmtId="3" fontId="32" fillId="0" borderId="26" xfId="3" applyNumberFormat="1" applyFont="1" applyBorder="1" applyAlignment="1">
      <alignment horizontal="center" vertical="center" wrapText="1"/>
    </xf>
    <xf numFmtId="1" fontId="32" fillId="0" borderId="43" xfId="3" applyNumberFormat="1" applyFont="1" applyBorder="1" applyAlignment="1">
      <alignment horizontal="center" vertical="center" wrapText="1"/>
    </xf>
    <xf numFmtId="10" fontId="32" fillId="20" borderId="43" xfId="3" applyNumberFormat="1" applyFont="1" applyFill="1" applyBorder="1" applyAlignment="1">
      <alignment horizontal="center" vertical="center" wrapText="1"/>
    </xf>
    <xf numFmtId="173" fontId="32" fillId="0" borderId="27" xfId="3" applyNumberFormat="1" applyFont="1" applyBorder="1" applyAlignment="1">
      <alignment horizontal="center" vertical="center" wrapText="1"/>
    </xf>
    <xf numFmtId="0" fontId="33" fillId="19" borderId="28" xfId="3" applyFont="1" applyFill="1" applyBorder="1" applyAlignment="1">
      <alignment wrapText="1"/>
    </xf>
    <xf numFmtId="3" fontId="33" fillId="19" borderId="44" xfId="3" applyNumberFormat="1" applyFont="1" applyFill="1" applyBorder="1" applyAlignment="1">
      <alignment horizontal="left" vertical="center" wrapText="1"/>
    </xf>
    <xf numFmtId="0" fontId="33" fillId="19" borderId="44" xfId="3" applyFont="1" applyFill="1" applyBorder="1" applyAlignment="1">
      <alignment horizontal="center" vertical="center" wrapText="1"/>
    </xf>
    <xf numFmtId="0" fontId="33" fillId="19" borderId="44" xfId="3" applyFont="1" applyFill="1" applyBorder="1" applyAlignment="1">
      <alignment wrapText="1"/>
    </xf>
    <xf numFmtId="3" fontId="33" fillId="19" borderId="44" xfId="3" applyNumberFormat="1" applyFont="1" applyFill="1" applyBorder="1" applyAlignment="1">
      <alignment horizontal="center" vertical="center" wrapText="1"/>
    </xf>
    <xf numFmtId="173" fontId="33" fillId="19" borderId="44" xfId="3" applyNumberFormat="1" applyFont="1" applyFill="1" applyBorder="1" applyAlignment="1">
      <alignment horizontal="center" vertical="center" wrapText="1"/>
    </xf>
    <xf numFmtId="173" fontId="33" fillId="19" borderId="29" xfId="3" applyNumberFormat="1" applyFont="1" applyFill="1" applyBorder="1" applyAlignment="1">
      <alignment horizontal="center" vertical="center" wrapText="1"/>
    </xf>
    <xf numFmtId="3" fontId="33" fillId="19" borderId="28" xfId="3" applyNumberFormat="1" applyFont="1" applyFill="1" applyBorder="1" applyAlignment="1">
      <alignment horizontal="center" vertical="center" wrapText="1"/>
    </xf>
    <xf numFmtId="10" fontId="33" fillId="19" borderId="44" xfId="3" applyNumberFormat="1" applyFont="1" applyFill="1" applyBorder="1" applyAlignment="1">
      <alignment horizontal="center" vertical="center" wrapText="1"/>
    </xf>
    <xf numFmtId="1" fontId="33" fillId="19" borderId="44" xfId="3" applyNumberFormat="1" applyFont="1" applyFill="1" applyBorder="1" applyAlignment="1">
      <alignment horizontal="center" vertical="center" wrapText="1"/>
    </xf>
    <xf numFmtId="0" fontId="33" fillId="19" borderId="29" xfId="3" applyFont="1" applyFill="1" applyBorder="1" applyAlignment="1">
      <alignment horizontal="center" vertical="center" wrapText="1"/>
    </xf>
    <xf numFmtId="173" fontId="33" fillId="17" borderId="19" xfId="3" applyNumberFormat="1" applyFont="1" applyFill="1" applyAlignment="1">
      <alignment horizontal="right" vertical="center" wrapText="1"/>
    </xf>
    <xf numFmtId="173" fontId="41" fillId="17" borderId="19" xfId="3" applyNumberFormat="1" applyFont="1" applyFill="1" applyAlignment="1">
      <alignment horizontal="right" vertical="center" wrapText="1"/>
    </xf>
    <xf numFmtId="173" fontId="35" fillId="18" borderId="40" xfId="3" applyNumberFormat="1" applyFont="1" applyFill="1" applyBorder="1" applyAlignment="1">
      <alignment horizontal="center" vertical="center" wrapText="1"/>
    </xf>
    <xf numFmtId="173" fontId="35" fillId="18" borderId="25" xfId="3" applyNumberFormat="1" applyFont="1" applyFill="1" applyBorder="1" applyAlignment="1">
      <alignment horizontal="center" vertical="center" wrapText="1"/>
    </xf>
    <xf numFmtId="173" fontId="38" fillId="0" borderId="43" xfId="3" applyNumberFormat="1" applyFont="1" applyBorder="1" applyAlignment="1">
      <alignment horizontal="center" vertical="center" wrapText="1"/>
    </xf>
    <xf numFmtId="173" fontId="32" fillId="0" borderId="27" xfId="3" applyNumberFormat="1" applyFont="1" applyBorder="1" applyAlignment="1">
      <alignment vertical="center" wrapText="1"/>
    </xf>
    <xf numFmtId="0" fontId="42" fillId="17" borderId="19" xfId="3" applyFont="1" applyFill="1" applyAlignment="1">
      <alignment horizontal="left" vertical="center" wrapText="1"/>
    </xf>
    <xf numFmtId="173" fontId="38" fillId="21" borderId="43" xfId="3" applyNumberFormat="1" applyFont="1" applyFill="1" applyBorder="1" applyAlignment="1">
      <alignment horizontal="center" vertical="center" wrapText="1"/>
    </xf>
    <xf numFmtId="173" fontId="32" fillId="20" borderId="27" xfId="3" applyNumberFormat="1" applyFont="1" applyFill="1" applyBorder="1" applyAlignment="1">
      <alignment vertical="center" wrapText="1"/>
    </xf>
    <xf numFmtId="173" fontId="43" fillId="19" borderId="44" xfId="3" applyNumberFormat="1" applyFont="1" applyFill="1" applyBorder="1" applyAlignment="1">
      <alignment horizontal="center" vertical="center" wrapText="1"/>
    </xf>
    <xf numFmtId="173" fontId="33" fillId="19" borderId="29" xfId="3" applyNumberFormat="1" applyFont="1" applyFill="1" applyBorder="1" applyAlignment="1">
      <alignment vertical="center" wrapText="1"/>
    </xf>
    <xf numFmtId="0" fontId="44" fillId="17" borderId="19" xfId="3" applyFont="1" applyFill="1" applyAlignment="1">
      <alignment wrapText="1"/>
    </xf>
    <xf numFmtId="172" fontId="32" fillId="17" borderId="19" xfId="3" applyNumberFormat="1" applyFont="1" applyFill="1" applyAlignment="1">
      <alignment horizontal="center" vertical="center" wrapText="1"/>
    </xf>
    <xf numFmtId="0" fontId="45" fillId="17" borderId="19" xfId="3" applyFont="1" applyFill="1" applyAlignment="1">
      <alignment wrapText="1"/>
    </xf>
    <xf numFmtId="175" fontId="29" fillId="17" borderId="19" xfId="3" applyNumberFormat="1" applyFont="1" applyFill="1" applyAlignment="1">
      <alignment horizontal="left" vertical="center" wrapText="1"/>
    </xf>
    <xf numFmtId="172" fontId="29" fillId="17" borderId="19" xfId="3" applyNumberFormat="1" applyFont="1" applyFill="1" applyAlignment="1">
      <alignment horizontal="center" vertical="center" wrapText="1"/>
    </xf>
    <xf numFmtId="0" fontId="49" fillId="24" borderId="19" xfId="0" applyFont="1" applyFill="1" applyBorder="1" applyAlignment="1">
      <alignment horizontal="center" vertical="center" wrapText="1"/>
    </xf>
    <xf numFmtId="0" fontId="51" fillId="24" borderId="19" xfId="0" applyFont="1" applyFill="1" applyBorder="1" applyAlignment="1">
      <alignment horizontal="left" vertical="center" wrapText="1"/>
    </xf>
    <xf numFmtId="0" fontId="49" fillId="24" borderId="19" xfId="0" applyFont="1" applyFill="1" applyBorder="1" applyAlignment="1">
      <alignment horizontal="left" vertical="center" wrapText="1"/>
    </xf>
    <xf numFmtId="0" fontId="52" fillId="24" borderId="19" xfId="0" applyFont="1" applyFill="1" applyBorder="1" applyAlignment="1">
      <alignment horizontal="center" vertical="center" wrapText="1"/>
    </xf>
    <xf numFmtId="0" fontId="0" fillId="0" borderId="19" xfId="0" applyBorder="1"/>
    <xf numFmtId="0" fontId="55" fillId="24" borderId="19" xfId="0" applyFont="1" applyFill="1" applyBorder="1" applyAlignment="1">
      <alignment horizontal="center" vertical="center" wrapText="1"/>
    </xf>
    <xf numFmtId="170" fontId="55" fillId="24" borderId="19" xfId="0" applyNumberFormat="1" applyFont="1" applyFill="1" applyBorder="1" applyAlignment="1">
      <alignment horizontal="left" vertical="center" wrapText="1"/>
    </xf>
    <xf numFmtId="0" fontId="55" fillId="24" borderId="19" xfId="0" applyFont="1" applyFill="1" applyBorder="1" applyAlignment="1">
      <alignment horizontal="left" vertical="center" wrapText="1"/>
    </xf>
    <xf numFmtId="0" fontId="46" fillId="23" borderId="19" xfId="0" applyFont="1" applyFill="1" applyBorder="1" applyAlignment="1">
      <alignment horizontal="center" vertical="center" wrapText="1"/>
    </xf>
    <xf numFmtId="0" fontId="47" fillId="23" borderId="19" xfId="0" applyFont="1" applyFill="1" applyBorder="1" applyAlignment="1">
      <alignment horizontal="center" vertical="center" wrapText="1"/>
    </xf>
    <xf numFmtId="0" fontId="48" fillId="24" borderId="19" xfId="0" applyFont="1" applyFill="1" applyBorder="1" applyAlignment="1">
      <alignment horizontal="left" vertical="center" wrapText="1"/>
    </xf>
    <xf numFmtId="0" fontId="50" fillId="24" borderId="19" xfId="0" applyFont="1" applyFill="1" applyBorder="1" applyAlignment="1">
      <alignment horizontal="left" vertical="center" wrapText="1"/>
    </xf>
    <xf numFmtId="0" fontId="56" fillId="24" borderId="19" xfId="0" applyFont="1" applyFill="1" applyBorder="1" applyAlignment="1">
      <alignment horizontal="center" vertical="center" wrapText="1"/>
    </xf>
    <xf numFmtId="170" fontId="56" fillId="24" borderId="19" xfId="0" applyNumberFormat="1" applyFont="1" applyFill="1" applyBorder="1" applyAlignment="1">
      <alignment horizontal="left" vertical="center" wrapText="1"/>
    </xf>
    <xf numFmtId="0" fontId="59" fillId="29" borderId="19" xfId="5" applyFont="1" applyFill="1" applyAlignment="1">
      <alignment horizontal="left" vertical="top" wrapText="1"/>
    </xf>
    <xf numFmtId="0" fontId="58" fillId="29" borderId="19" xfId="5" applyFont="1" applyFill="1" applyAlignment="1">
      <alignment horizontal="center" vertical="top"/>
    </xf>
    <xf numFmtId="0" fontId="0" fillId="27" borderId="19" xfId="5" applyFont="1" applyFill="1"/>
    <xf numFmtId="0" fontId="53" fillId="24" borderId="19" xfId="0" applyFont="1" applyFill="1" applyBorder="1" applyAlignment="1">
      <alignment horizontal="left" vertical="center" wrapText="1"/>
    </xf>
    <xf numFmtId="0" fontId="53" fillId="24" borderId="19" xfId="0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vertical="top" wrapText="1"/>
    </xf>
    <xf numFmtId="166" fontId="53" fillId="24" borderId="19" xfId="0" applyNumberFormat="1" applyFont="1" applyFill="1" applyBorder="1" applyAlignment="1">
      <alignment horizontal="left" vertical="center" wrapText="1"/>
    </xf>
    <xf numFmtId="8" fontId="53" fillId="24" borderId="19" xfId="0" applyNumberFormat="1" applyFont="1" applyFill="1" applyBorder="1" applyAlignment="1">
      <alignment horizontal="left" vertical="center" wrapText="1"/>
    </xf>
    <xf numFmtId="6" fontId="53" fillId="24" borderId="19" xfId="0" applyNumberFormat="1" applyFont="1" applyFill="1" applyBorder="1" applyAlignment="1">
      <alignment horizontal="left" vertical="center" wrapText="1"/>
    </xf>
    <xf numFmtId="173" fontId="32" fillId="20" borderId="40" xfId="3" applyNumberFormat="1" applyFont="1" applyFill="1" applyBorder="1" applyAlignment="1">
      <alignment horizontal="left" vertical="center" wrapText="1"/>
    </xf>
    <xf numFmtId="173" fontId="32" fillId="20" borderId="43" xfId="3" applyNumberFormat="1" applyFont="1" applyFill="1" applyBorder="1" applyAlignment="1">
      <alignment horizontal="left" vertical="center" wrapText="1"/>
    </xf>
    <xf numFmtId="0" fontId="9" fillId="6" borderId="14" xfId="1" applyFont="1" applyFill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47" fillId="23" borderId="19" xfId="0" applyFont="1" applyFill="1" applyBorder="1" applyAlignment="1">
      <alignment horizontal="left" vertical="center" wrapText="1"/>
    </xf>
    <xf numFmtId="176" fontId="55" fillId="24" borderId="19" xfId="0" applyNumberFormat="1" applyFont="1" applyFill="1" applyBorder="1" applyAlignment="1">
      <alignment horizontal="left" vertical="center" wrapText="1"/>
    </xf>
    <xf numFmtId="3" fontId="55" fillId="24" borderId="19" xfId="0" applyNumberFormat="1" applyFont="1" applyFill="1" applyBorder="1" applyAlignment="1">
      <alignment horizontal="left" vertical="center" wrapText="1"/>
    </xf>
    <xf numFmtId="3" fontId="56" fillId="24" borderId="19" xfId="0" applyNumberFormat="1" applyFont="1" applyFill="1" applyBorder="1" applyAlignment="1">
      <alignment horizontal="left" vertical="center" wrapText="1"/>
    </xf>
    <xf numFmtId="10" fontId="55" fillId="24" borderId="19" xfId="0" applyNumberFormat="1" applyFont="1" applyFill="1" applyBorder="1" applyAlignment="1">
      <alignment horizontal="left" vertical="center" wrapText="1"/>
    </xf>
    <xf numFmtId="2" fontId="55" fillId="24" borderId="19" xfId="0" applyNumberFormat="1" applyFont="1" applyFill="1" applyBorder="1" applyAlignment="1">
      <alignment horizontal="left" vertical="center" wrapText="1"/>
    </xf>
    <xf numFmtId="176" fontId="49" fillId="24" borderId="19" xfId="0" applyNumberFormat="1" applyFont="1" applyFill="1" applyBorder="1" applyAlignment="1">
      <alignment horizontal="left" vertical="center" wrapText="1"/>
    </xf>
    <xf numFmtId="0" fontId="0" fillId="0" borderId="19" xfId="0" applyBorder="1" applyAlignment="1">
      <alignment horizontal="left"/>
    </xf>
    <xf numFmtId="171" fontId="55" fillId="24" borderId="19" xfId="0" applyNumberFormat="1" applyFont="1" applyFill="1" applyBorder="1" applyAlignment="1">
      <alignment horizontal="left" vertical="center" wrapText="1"/>
    </xf>
    <xf numFmtId="0" fontId="32" fillId="17" borderId="19" xfId="3" applyFont="1" applyFill="1" applyAlignment="1">
      <alignment horizontal="left" vertical="center" wrapText="1"/>
    </xf>
    <xf numFmtId="0" fontId="19" fillId="0" borderId="19" xfId="3" applyFont="1"/>
    <xf numFmtId="3" fontId="32" fillId="17" borderId="47" xfId="3" applyNumberFormat="1" applyFont="1" applyFill="1" applyBorder="1" applyAlignment="1">
      <alignment horizontal="left" vertical="center" wrapText="1"/>
    </xf>
    <xf numFmtId="0" fontId="19" fillId="0" borderId="48" xfId="3" applyFont="1" applyBorder="1"/>
    <xf numFmtId="0" fontId="35" fillId="18" borderId="30" xfId="3" applyFont="1" applyFill="1" applyBorder="1" applyAlignment="1">
      <alignment horizontal="center" vertical="center" wrapText="1"/>
    </xf>
    <xf numFmtId="0" fontId="19" fillId="0" borderId="31" xfId="3" applyFont="1" applyBorder="1"/>
    <xf numFmtId="0" fontId="19" fillId="0" borderId="32" xfId="3" applyFont="1" applyBorder="1"/>
    <xf numFmtId="0" fontId="35" fillId="18" borderId="35" xfId="3" applyFont="1" applyFill="1" applyBorder="1" applyAlignment="1">
      <alignment horizontal="center" vertical="center" wrapText="1"/>
    </xf>
    <xf numFmtId="0" fontId="19" fillId="0" borderId="36" xfId="3" applyFont="1" applyBorder="1"/>
    <xf numFmtId="0" fontId="34" fillId="17" borderId="19" xfId="3" applyFont="1" applyFill="1" applyAlignment="1">
      <alignment horizontal="left" vertical="top" wrapText="1"/>
    </xf>
    <xf numFmtId="3" fontId="35" fillId="18" borderId="45" xfId="3" applyNumberFormat="1" applyFont="1" applyFill="1" applyBorder="1" applyAlignment="1">
      <alignment wrapText="1"/>
    </xf>
    <xf numFmtId="0" fontId="19" fillId="0" borderId="46" xfId="3" applyFont="1" applyBorder="1"/>
    <xf numFmtId="3" fontId="33" fillId="19" borderId="49" xfId="3" applyNumberFormat="1" applyFont="1" applyFill="1" applyBorder="1" applyAlignment="1">
      <alignment vertical="center" wrapText="1"/>
    </xf>
    <xf numFmtId="0" fontId="19" fillId="0" borderId="50" xfId="3" applyFont="1" applyBorder="1" applyAlignment="1">
      <alignment vertical="center"/>
    </xf>
    <xf numFmtId="0" fontId="30" fillId="17" borderId="51" xfId="3" applyFont="1" applyFill="1" applyBorder="1" applyAlignment="1">
      <alignment horizontal="left" vertical="center" wrapText="1"/>
    </xf>
    <xf numFmtId="0" fontId="19" fillId="0" borderId="51" xfId="3" applyFont="1" applyBorder="1"/>
    <xf numFmtId="0" fontId="29" fillId="17" borderId="52" xfId="3" applyFont="1" applyFill="1" applyBorder="1" applyAlignment="1">
      <alignment horizontal="left" vertical="top" wrapText="1"/>
    </xf>
    <xf numFmtId="0" fontId="19" fillId="0" borderId="53" xfId="3" applyFont="1" applyBorder="1" applyAlignment="1">
      <alignment horizontal="left" vertical="top"/>
    </xf>
    <xf numFmtId="0" fontId="19" fillId="0" borderId="54" xfId="3" applyFont="1" applyBorder="1" applyAlignment="1">
      <alignment horizontal="left" vertical="top"/>
    </xf>
    <xf numFmtId="0" fontId="19" fillId="0" borderId="55" xfId="3" applyFont="1" applyBorder="1" applyAlignment="1">
      <alignment horizontal="left" vertical="top"/>
    </xf>
    <xf numFmtId="0" fontId="28" fillId="0" borderId="19" xfId="3" applyAlignment="1">
      <alignment horizontal="left" vertical="top"/>
    </xf>
    <xf numFmtId="0" fontId="19" fillId="0" borderId="56" xfId="3" applyFont="1" applyBorder="1" applyAlignment="1">
      <alignment horizontal="left" vertical="top"/>
    </xf>
    <xf numFmtId="0" fontId="19" fillId="0" borderId="57" xfId="3" applyFont="1" applyBorder="1" applyAlignment="1">
      <alignment horizontal="left" vertical="top"/>
    </xf>
    <xf numFmtId="0" fontId="19" fillId="0" borderId="51" xfId="3" applyFont="1" applyBorder="1" applyAlignment="1">
      <alignment horizontal="left" vertical="top"/>
    </xf>
    <xf numFmtId="0" fontId="19" fillId="0" borderId="58" xfId="3" applyFont="1" applyBorder="1" applyAlignment="1">
      <alignment horizontal="left" vertical="top"/>
    </xf>
    <xf numFmtId="0" fontId="29" fillId="17" borderId="19" xfId="3" applyFont="1" applyFill="1" applyAlignment="1">
      <alignment horizontal="left" vertical="center" wrapText="1"/>
    </xf>
    <xf numFmtId="0" fontId="24" fillId="14" borderId="19" xfId="0" applyFont="1" applyFill="1" applyBorder="1" applyAlignment="1">
      <alignment horizontal="center" vertical="center" wrapText="1"/>
    </xf>
    <xf numFmtId="0" fontId="60" fillId="26" borderId="19" xfId="5" applyFont="1" applyFill="1" applyAlignment="1">
      <alignment horizontal="left" vertical="center"/>
    </xf>
    <xf numFmtId="0" fontId="2" fillId="3" borderId="3" xfId="1" applyFont="1" applyFill="1" applyAlignment="1">
      <alignment horizontal="left" vertical="center" wrapText="1"/>
    </xf>
    <xf numFmtId="0" fontId="0" fillId="0" borderId="0" xfId="0" applyBorder="1"/>
    <xf numFmtId="168" fontId="18" fillId="0" borderId="3" xfId="0" applyNumberFormat="1" applyFont="1" applyAlignment="1">
      <alignment horizontal="center" vertical="center"/>
    </xf>
    <xf numFmtId="0" fontId="6" fillId="6" borderId="3" xfId="1" applyFont="1" applyFill="1" applyAlignment="1">
      <alignment horizontal="left" vertical="top" wrapText="1"/>
    </xf>
    <xf numFmtId="0" fontId="3" fillId="6" borderId="3" xfId="1" applyFont="1" applyFill="1" applyAlignment="1">
      <alignment horizontal="center" vertical="center" wrapText="1"/>
    </xf>
    <xf numFmtId="0" fontId="6" fillId="5" borderId="3" xfId="1" applyFont="1" applyFill="1" applyAlignment="1">
      <alignment horizontal="left" vertical="top" wrapText="1"/>
    </xf>
    <xf numFmtId="0" fontId="18" fillId="0" borderId="3" xfId="0" applyFont="1" applyAlignment="1">
      <alignment horizontal="left" vertical="center" wrapText="1"/>
    </xf>
    <xf numFmtId="0" fontId="3" fillId="4" borderId="3" xfId="1" applyFont="1" applyFill="1" applyAlignment="1">
      <alignment horizontal="left" vertical="center" wrapText="1"/>
    </xf>
    <xf numFmtId="0" fontId="7" fillId="6" borderId="3" xfId="1" applyFont="1" applyFill="1" applyAlignment="1">
      <alignment horizontal="left" vertical="top" wrapText="1"/>
    </xf>
    <xf numFmtId="0" fontId="7" fillId="5" borderId="3" xfId="1" applyFont="1" applyFill="1" applyAlignment="1">
      <alignment horizontal="left" vertical="top" wrapText="1"/>
    </xf>
    <xf numFmtId="0" fontId="5" fillId="4" borderId="3" xfId="1" applyFont="1" applyFill="1" applyAlignment="1">
      <alignment horizontal="left" vertical="center" wrapText="1"/>
    </xf>
    <xf numFmtId="0" fontId="4" fillId="3" borderId="3" xfId="1" applyFont="1" applyFill="1" applyAlignment="1">
      <alignment vertical="center" wrapText="1"/>
    </xf>
    <xf numFmtId="0" fontId="4" fillId="3" borderId="3" xfId="1" applyFont="1" applyFill="1" applyAlignment="1">
      <alignment horizontal="left" vertical="center" wrapText="1"/>
    </xf>
    <xf numFmtId="0" fontId="19" fillId="0" borderId="3" xfId="0" applyFont="1" applyAlignment="1">
      <alignment horizontal="center" vertical="center" wrapText="1"/>
    </xf>
    <xf numFmtId="0" fontId="6" fillId="6" borderId="3" xfId="1" applyFont="1" applyFill="1" applyAlignment="1">
      <alignment horizontal="left" vertical="center" wrapText="1"/>
    </xf>
    <xf numFmtId="0" fontId="5" fillId="4" borderId="3" xfId="1" applyFont="1" applyFill="1" applyAlignment="1">
      <alignment vertical="center" wrapText="1"/>
    </xf>
    <xf numFmtId="167" fontId="17" fillId="10" borderId="3" xfId="0" applyNumberFormat="1" applyFont="1" applyFill="1" applyAlignment="1">
      <alignment horizontal="center" vertical="center" wrapText="1"/>
    </xf>
    <xf numFmtId="0" fontId="17" fillId="10" borderId="3" xfId="0" applyFont="1" applyFill="1" applyAlignment="1">
      <alignment horizontal="left" vertical="center" wrapText="1"/>
    </xf>
    <xf numFmtId="0" fontId="1" fillId="3" borderId="3" xfId="1" applyFont="1" applyFill="1" applyAlignment="1">
      <alignment horizontal="left" vertical="center" wrapText="1"/>
    </xf>
    <xf numFmtId="0" fontId="6" fillId="5" borderId="5" xfId="1" applyFont="1" applyFill="1" applyBorder="1" applyAlignment="1">
      <alignment horizontal="left" vertical="top" wrapText="1"/>
    </xf>
    <xf numFmtId="0" fontId="0" fillId="0" borderId="5" xfId="0" applyBorder="1"/>
    <xf numFmtId="0" fontId="12" fillId="6" borderId="3" xfId="1" applyFont="1" applyFill="1" applyAlignment="1">
      <alignment horizontal="left" vertical="top" wrapText="1"/>
    </xf>
    <xf numFmtId="0" fontId="6" fillId="6" borderId="3" xfId="1" applyFont="1" applyFill="1" applyAlignment="1">
      <alignment horizontal="center" vertical="center" wrapText="1"/>
    </xf>
    <xf numFmtId="0" fontId="54" fillId="25" borderId="21" xfId="0" applyFont="1" applyFill="1" applyBorder="1" applyAlignment="1">
      <alignment horizontal="left" vertical="top" wrapText="1"/>
    </xf>
    <xf numFmtId="0" fontId="54" fillId="25" borderId="20" xfId="0" applyFont="1" applyFill="1" applyBorder="1" applyAlignment="1">
      <alignment horizontal="left" vertical="top" wrapText="1"/>
    </xf>
    <xf numFmtId="0" fontId="54" fillId="25" borderId="22" xfId="0" applyFont="1" applyFill="1" applyBorder="1" applyAlignment="1">
      <alignment horizontal="left" vertical="top" wrapText="1"/>
    </xf>
    <xf numFmtId="0" fontId="54" fillId="25" borderId="23" xfId="0" applyFont="1" applyFill="1" applyBorder="1" applyAlignment="1">
      <alignment horizontal="left" vertical="top" wrapText="1"/>
    </xf>
    <xf numFmtId="0" fontId="4" fillId="22" borderId="59" xfId="0" applyFont="1" applyFill="1" applyBorder="1" applyAlignment="1">
      <alignment horizontal="center" vertical="center" wrapText="1"/>
    </xf>
    <xf numFmtId="0" fontId="15" fillId="22" borderId="20" xfId="0" applyFont="1" applyFill="1" applyBorder="1" applyAlignment="1">
      <alignment horizontal="center" vertical="center" wrapText="1"/>
    </xf>
    <xf numFmtId="0" fontId="61" fillId="4" borderId="3" xfId="1" applyFont="1" applyFill="1" applyAlignment="1">
      <alignment vertical="center" wrapText="1"/>
    </xf>
    <xf numFmtId="0" fontId="62" fillId="0" borderId="0" xfId="0" applyFont="1" applyBorder="1"/>
    <xf numFmtId="0" fontId="19" fillId="0" borderId="3" xfId="0" applyFont="1" applyAlignment="1">
      <alignment horizontal="left" vertical="center" wrapText="1"/>
    </xf>
    <xf numFmtId="0" fontId="59" fillId="30" borderId="19" xfId="5" applyFont="1" applyFill="1" applyAlignment="1">
      <alignment horizontal="left" vertical="top" wrapText="1"/>
    </xf>
    <xf numFmtId="0" fontId="59" fillId="29" borderId="19" xfId="5" applyFont="1" applyFill="1" applyAlignment="1">
      <alignment horizontal="left" vertical="top" wrapText="1"/>
    </xf>
    <xf numFmtId="0" fontId="57" fillId="28" borderId="19" xfId="5" applyFont="1" applyFill="1" applyAlignment="1">
      <alignment horizontal="left" vertical="center" wrapText="1"/>
    </xf>
    <xf numFmtId="0" fontId="0" fillId="27" borderId="19" xfId="5" applyFont="1" applyFill="1" applyAlignment="1">
      <alignment horizontal="left"/>
    </xf>
    <xf numFmtId="0" fontId="14" fillId="8" borderId="3" xfId="2" applyFont="1" applyFill="1" applyAlignment="1">
      <alignment vertical="center" wrapText="1"/>
    </xf>
    <xf numFmtId="0" fontId="11" fillId="0" borderId="2" xfId="2" applyBorder="1"/>
    <xf numFmtId="0" fontId="13" fillId="7" borderId="3" xfId="2" applyFont="1" applyFill="1" applyAlignment="1">
      <alignment horizontal="left" vertical="center" wrapText="1"/>
    </xf>
    <xf numFmtId="0" fontId="21" fillId="11" borderId="4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22" fillId="12" borderId="4" xfId="0" applyFont="1" applyFill="1" applyBorder="1" applyAlignment="1">
      <alignment vertical="center" wrapText="1"/>
    </xf>
  </cellXfs>
  <cellStyles count="10">
    <cellStyle name="Normal" xfId="1" xr:uid="{00000000-0005-0000-0000-000000000000}"/>
    <cellStyle name="Normal 2" xfId="5" xr:uid="{BB81FB94-F926-4BA2-AB98-EC80B28207D5}"/>
    <cellStyle name="Обычный" xfId="0" builtinId="0"/>
    <cellStyle name="Обычный 2" xfId="2" xr:uid="{00000000-0005-0000-0000-000002000000}"/>
    <cellStyle name="Обычный 2 2" xfId="6" xr:uid="{0A02F977-D891-470A-82B9-CF6311A81478}"/>
    <cellStyle name="Обычный 3" xfId="3" xr:uid="{6CB132DA-69CB-46B8-AE52-037BE5F526A9}"/>
    <cellStyle name="Обычный 4" xfId="4" xr:uid="{12244E78-A1FA-4F20-A6A6-ADB82237EF03}"/>
    <cellStyle name="Обычный 5" xfId="7" xr:uid="{CDF058FA-C0EA-4A96-9A65-867329AEE9C2}"/>
    <cellStyle name="Обычный 6" xfId="8" xr:uid="{A6574CAD-EC3E-457A-9DFE-BE257A4899DD}"/>
    <cellStyle name="Обычный 7" xfId="9" xr:uid="{DB3BECA7-C822-47A2-A1FB-83FC929CE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313" displayName="Таблица313" ref="C55:I75">
  <autoFilter ref="C55:I75" xr:uid="{00000000-0009-0000-0100-000001000000}"/>
  <tableColumns count="7">
    <tableColumn id="1" xr3:uid="{00000000-0010-0000-0000-000001000000}" name="Кампания"/>
    <tableColumn id="2" xr3:uid="{00000000-0010-0000-0000-000002000000}" name="Регион"/>
    <tableColumn id="3" xr3:uid="{00000000-0010-0000-0000-000003000000}" name="Показы"/>
    <tableColumn id="4" xr3:uid="{00000000-0010-0000-0000-000004000000}" name="Клики"/>
    <tableColumn id="5" xr3:uid="{00000000-0010-0000-0000-000005000000}" name="CTR, %"/>
    <tableColumn id="6" xr3:uid="{00000000-0010-0000-0000-000006000000}" name="Ср. цена клика, руб."/>
    <tableColumn id="7" xr3:uid="{00000000-0010-0000-0000-000007000000}" name="Бюдже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gnoz_Direct_85" displayName="tbl_Prognoz_Direct_85" ref="A4:H10">
  <autoFilter ref="A4:H10" xr:uid="{00000000-0009-0000-0100-000002000000}"/>
  <tableColumns count="8">
    <tableColumn id="1" xr3:uid="{00000000-0010-0000-0100-000001000000}" name="Файл"/>
    <tableColumn id="2" xr3:uid="{00000000-0010-0000-0100-000002000000}" name="Строка_медиаплана"/>
    <tableColumn id="3" xr3:uid="{00000000-0010-0000-0100-000003000000}" name="Группа_в_медиаплане"/>
    <tableColumn id="4" xr3:uid="{00000000-0010-0000-0100-000004000000}" name="Показы_85"/>
    <tableColumn id="5" xr3:uid="{00000000-0010-0000-0100-000005000000}" name="Клики_85"/>
    <tableColumn id="6" xr3:uid="{00000000-0010-0000-0100-000006000000}" name="CTR_85"/>
    <tableColumn id="7" xr3:uid="{00000000-0010-0000-0100-000007000000}" name="CPC_85_без_НДС"/>
    <tableColumn id="8" xr3:uid="{00000000-0010-0000-0100-000008000000}" name="Бюджет_85_без_НД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ognoz_Direct_85_Detail" displayName="tbl_Prognoz_Direct_85_Detail" ref="A14:H188">
  <autoFilter ref="A14:H188" xr:uid="{00000000-0009-0000-0100-000003000000}"/>
  <tableColumns count="8">
    <tableColumn id="1" xr3:uid="{00000000-0010-0000-0200-000001000000}" name="Файл"/>
    <tableColumn id="2" xr3:uid="{00000000-0010-0000-0200-000002000000}" name="Фраза"/>
    <tableColumn id="3" xr3:uid="{00000000-0010-0000-0200-000003000000}" name="Запросы"/>
    <tableColumn id="4" xr3:uid="{00000000-0010-0000-0200-000004000000}" name="Объем_трафика"/>
    <tableColumn id="5" xr3:uid="{00000000-0010-0000-0200-000005000000}" name="Показы_85"/>
    <tableColumn id="6" xr3:uid="{00000000-0010-0000-0200-000006000000}" name="Клики_85"/>
    <tableColumn id="7" xr3:uid="{00000000-0010-0000-0200-000007000000}" name="CPC_85_без_НДС"/>
    <tableColumn id="8" xr3:uid="{00000000-0010-0000-0200-000008000000}" name="Бюджет_85_без_НДС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0ABC-057E-42F0-A115-8EF5A1A28CA0}">
  <sheetPr>
    <tabColor indexed="2"/>
  </sheetPr>
  <dimension ref="A1:AG1001"/>
  <sheetViews>
    <sheetView topLeftCell="A19" zoomScale="58" zoomScaleNormal="58" workbookViewId="0">
      <pane xSplit="4" topLeftCell="F1" activePane="topRight" state="frozen"/>
      <selection activeCell="F2" sqref="F2"/>
      <selection pane="topRight" activeCell="Q29" sqref="Q29"/>
    </sheetView>
  </sheetViews>
  <sheetFormatPr defaultColWidth="12.625" defaultRowHeight="15" customHeight="1" outlineLevelCol="1"/>
  <cols>
    <col min="1" max="2" width="3.375" style="108" customWidth="1"/>
    <col min="3" max="3" width="41" style="108" customWidth="1"/>
    <col min="4" max="4" width="25.375" style="108" customWidth="1"/>
    <col min="5" max="5" width="25.25" style="108" customWidth="1"/>
    <col min="6" max="6" width="14.5" style="108" customWidth="1"/>
    <col min="7" max="7" width="17.75" style="108" customWidth="1"/>
    <col min="8" max="8" width="11.75" style="108" customWidth="1"/>
    <col min="9" max="9" width="5.375" style="108" customWidth="1"/>
    <col min="10" max="10" width="8.75" style="108" customWidth="1"/>
    <col min="11" max="12" width="14.5" style="108" customWidth="1" outlineLevel="1"/>
    <col min="13" max="13" width="23.25" style="108" customWidth="1" outlineLevel="1"/>
    <col min="14" max="14" width="23.25" style="108" customWidth="1"/>
    <col min="15" max="15" width="20.5" style="108" customWidth="1"/>
    <col min="16" max="22" width="14.875" style="108" customWidth="1"/>
    <col min="23" max="23" width="16.625" style="108" customWidth="1"/>
    <col min="24" max="33" width="8" style="108" customWidth="1"/>
    <col min="34" max="16384" width="12.625" style="108"/>
  </cols>
  <sheetData>
    <row r="1" spans="1:33" ht="18" customHeight="1">
      <c r="A1" s="104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  <c r="N1" s="104"/>
      <c r="O1" s="104"/>
      <c r="P1" s="107"/>
      <c r="Q1" s="107"/>
      <c r="R1" s="104"/>
      <c r="S1" s="104"/>
      <c r="T1" s="104"/>
      <c r="U1" s="104"/>
    </row>
    <row r="2" spans="1:33" ht="18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  <c r="N2" s="104"/>
      <c r="O2" s="104"/>
      <c r="P2" s="107"/>
      <c r="Q2" s="107"/>
      <c r="R2" s="104"/>
      <c r="S2" s="104"/>
      <c r="T2" s="104"/>
      <c r="U2" s="104"/>
    </row>
    <row r="3" spans="1:33" ht="18" customHeight="1">
      <c r="A3" s="104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6"/>
      <c r="N3" s="104"/>
      <c r="O3" s="104"/>
      <c r="P3" s="107"/>
      <c r="Q3" s="107"/>
      <c r="R3" s="104"/>
      <c r="S3" s="104"/>
      <c r="T3" s="104"/>
      <c r="U3" s="104"/>
    </row>
    <row r="4" spans="1:33" ht="18" customHeight="1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6"/>
      <c r="N4" s="104"/>
      <c r="O4" s="104"/>
      <c r="P4" s="107"/>
      <c r="Q4" s="107"/>
      <c r="R4" s="104"/>
      <c r="S4" s="104"/>
      <c r="T4" s="104"/>
      <c r="U4" s="104"/>
    </row>
    <row r="5" spans="1:33" ht="18" customHeight="1">
      <c r="A5" s="10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104"/>
      <c r="O5" s="104"/>
      <c r="P5" s="107"/>
      <c r="Q5" s="107"/>
      <c r="R5" s="104"/>
      <c r="S5" s="104"/>
      <c r="T5" s="104"/>
      <c r="U5" s="104"/>
    </row>
    <row r="6" spans="1:33" ht="18" customHeight="1">
      <c r="A6" s="104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6"/>
      <c r="N6" s="104"/>
      <c r="O6" s="104"/>
      <c r="P6" s="107"/>
      <c r="Q6" s="107"/>
      <c r="R6" s="104"/>
      <c r="S6" s="104"/>
      <c r="T6" s="104"/>
      <c r="U6" s="104"/>
    </row>
    <row r="7" spans="1:33" ht="17.25" customHeight="1">
      <c r="A7" s="104"/>
      <c r="B7" s="105"/>
      <c r="C7" s="105"/>
      <c r="D7" s="109"/>
      <c r="E7" s="110"/>
      <c r="F7" s="110"/>
      <c r="G7" s="105"/>
      <c r="H7" s="105"/>
      <c r="I7" s="105"/>
      <c r="J7" s="105"/>
      <c r="K7" s="105"/>
      <c r="L7" s="105"/>
      <c r="M7" s="106"/>
      <c r="N7" s="104"/>
      <c r="O7" s="104"/>
      <c r="P7" s="107"/>
      <c r="Q7" s="107"/>
      <c r="R7" s="104"/>
      <c r="S7" s="104"/>
      <c r="T7" s="104"/>
      <c r="U7" s="104"/>
    </row>
    <row r="8" spans="1:33" ht="18" customHeight="1" thickBot="1">
      <c r="A8" s="111"/>
      <c r="B8" s="112"/>
      <c r="C8" s="113" t="s">
        <v>370</v>
      </c>
      <c r="D8" s="114"/>
      <c r="E8" s="111"/>
      <c r="F8" s="111"/>
      <c r="G8" s="112"/>
      <c r="H8" s="112"/>
      <c r="I8" s="112"/>
      <c r="J8" s="112"/>
      <c r="K8" s="112"/>
      <c r="L8" s="112"/>
      <c r="M8" s="115"/>
      <c r="N8" s="111"/>
      <c r="O8" s="111"/>
      <c r="P8" s="116"/>
      <c r="Q8" s="116"/>
      <c r="R8" s="111"/>
      <c r="S8" s="111"/>
      <c r="T8" s="111"/>
      <c r="U8" s="111"/>
      <c r="V8" s="111"/>
      <c r="W8" s="111"/>
      <c r="X8" s="104"/>
      <c r="Y8" s="104"/>
      <c r="Z8" s="104"/>
      <c r="AA8" s="104"/>
      <c r="AB8" s="104"/>
      <c r="AC8" s="104"/>
      <c r="AD8" s="104"/>
      <c r="AE8" s="104"/>
      <c r="AF8" s="104"/>
      <c r="AG8" s="104"/>
    </row>
    <row r="9" spans="1:33" ht="18" customHeight="1">
      <c r="A9" s="111"/>
      <c r="B9" s="112"/>
      <c r="C9" s="117" t="s">
        <v>371</v>
      </c>
      <c r="D9" s="118">
        <f>P24</f>
        <v>252176.39763635921</v>
      </c>
      <c r="E9" s="111"/>
      <c r="F9" s="111"/>
      <c r="G9" s="112"/>
      <c r="H9" s="112"/>
      <c r="I9" s="112"/>
      <c r="J9" s="112"/>
      <c r="K9" s="112"/>
      <c r="L9" s="112"/>
      <c r="M9" s="115"/>
      <c r="N9" s="111"/>
      <c r="O9" s="111"/>
      <c r="P9" s="116"/>
      <c r="Q9" s="116"/>
      <c r="R9" s="111"/>
      <c r="S9" s="111"/>
      <c r="T9" s="111"/>
      <c r="U9" s="111"/>
      <c r="V9" s="111"/>
      <c r="W9" s="111"/>
      <c r="X9" s="104"/>
      <c r="Y9" s="104"/>
      <c r="Z9" s="104"/>
      <c r="AA9" s="104"/>
      <c r="AB9" s="104"/>
      <c r="AC9" s="104"/>
      <c r="AD9" s="104"/>
      <c r="AE9" s="104"/>
      <c r="AF9" s="104"/>
      <c r="AG9" s="104"/>
    </row>
    <row r="10" spans="1:33" ht="18" customHeight="1">
      <c r="A10" s="111"/>
      <c r="B10" s="112"/>
      <c r="C10" s="119" t="s">
        <v>372</v>
      </c>
      <c r="D10" s="120">
        <f>Q24</f>
        <v>16600</v>
      </c>
      <c r="E10" s="111"/>
      <c r="F10" s="111"/>
      <c r="G10" s="112"/>
      <c r="H10" s="112"/>
      <c r="I10" s="112"/>
      <c r="J10" s="112"/>
      <c r="K10" s="112"/>
      <c r="L10" s="112"/>
      <c r="M10" s="115"/>
      <c r="N10" s="111"/>
      <c r="O10" s="111"/>
      <c r="P10" s="116"/>
      <c r="Q10" s="116"/>
      <c r="R10" s="111"/>
      <c r="S10" s="111"/>
      <c r="T10" s="111"/>
      <c r="U10" s="111"/>
      <c r="V10" s="111"/>
      <c r="W10" s="111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</row>
    <row r="11" spans="1:33" ht="18" customHeight="1">
      <c r="A11" s="111"/>
      <c r="B11" s="112"/>
      <c r="C11" s="121" t="s">
        <v>373</v>
      </c>
      <c r="D11" s="122">
        <f>R24</f>
        <v>6.582693763409754E-2</v>
      </c>
      <c r="E11" s="111"/>
      <c r="F11" s="111"/>
      <c r="G11" s="112"/>
      <c r="H11" s="112"/>
      <c r="I11" s="112"/>
      <c r="J11" s="112"/>
      <c r="K11" s="112"/>
      <c r="L11" s="112"/>
      <c r="M11" s="115"/>
      <c r="N11" s="111"/>
      <c r="O11" s="111"/>
      <c r="P11" s="116"/>
      <c r="Q11" s="116"/>
      <c r="R11" s="111"/>
      <c r="S11" s="111"/>
      <c r="T11" s="111"/>
      <c r="U11" s="111"/>
      <c r="V11" s="111"/>
      <c r="W11" s="111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</row>
    <row r="12" spans="1:33" ht="18" customHeight="1">
      <c r="A12" s="111"/>
      <c r="B12" s="112"/>
      <c r="C12" s="119" t="s">
        <v>374</v>
      </c>
      <c r="D12" s="123">
        <f>S24</f>
        <v>0.4734937590361446</v>
      </c>
      <c r="E12" s="111"/>
      <c r="F12" s="111"/>
      <c r="G12" s="112"/>
      <c r="H12" s="112"/>
      <c r="I12" s="112"/>
      <c r="J12" s="112"/>
      <c r="K12" s="112"/>
      <c r="L12" s="112"/>
      <c r="M12" s="115"/>
      <c r="N12" s="111"/>
      <c r="O12" s="111"/>
      <c r="P12" s="116"/>
      <c r="Q12" s="116"/>
      <c r="R12" s="111"/>
      <c r="S12" s="111"/>
      <c r="T12" s="111"/>
      <c r="U12" s="111"/>
      <c r="V12" s="111"/>
      <c r="W12" s="111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</row>
    <row r="13" spans="1:33" ht="18" customHeight="1">
      <c r="A13" s="111"/>
      <c r="B13" s="112"/>
      <c r="C13" s="124" t="s">
        <v>333</v>
      </c>
      <c r="D13" s="122">
        <f>T24</f>
        <v>0.49487951807228914</v>
      </c>
      <c r="E13" s="111"/>
      <c r="F13" s="111"/>
      <c r="G13" s="112"/>
      <c r="H13" s="112"/>
      <c r="I13" s="112"/>
      <c r="J13" s="112"/>
      <c r="K13" s="112"/>
      <c r="L13" s="112"/>
      <c r="M13" s="115"/>
      <c r="N13" s="111"/>
      <c r="O13" s="111"/>
      <c r="P13" s="116"/>
      <c r="Q13" s="116"/>
      <c r="R13" s="111"/>
      <c r="S13" s="111"/>
      <c r="T13" s="111"/>
      <c r="U13" s="111"/>
      <c r="V13" s="111"/>
      <c r="W13" s="111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</row>
    <row r="14" spans="1:33" ht="18" customHeight="1">
      <c r="A14" s="111"/>
      <c r="B14" s="112"/>
      <c r="C14" s="124" t="s">
        <v>335</v>
      </c>
      <c r="D14" s="120">
        <f>U24</f>
        <v>8215</v>
      </c>
      <c r="E14" s="111"/>
      <c r="F14" s="111"/>
      <c r="G14" s="112"/>
      <c r="H14" s="112"/>
      <c r="I14" s="112"/>
      <c r="J14" s="112"/>
      <c r="K14" s="112"/>
      <c r="L14" s="112"/>
      <c r="M14" s="115"/>
      <c r="N14" s="111"/>
      <c r="O14" s="111"/>
      <c r="P14" s="116"/>
      <c r="Q14" s="116"/>
      <c r="R14" s="111"/>
      <c r="S14" s="111"/>
      <c r="T14" s="111"/>
      <c r="U14" s="111"/>
      <c r="V14" s="111"/>
      <c r="W14" s="111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</row>
    <row r="15" spans="1:33" ht="18" customHeight="1">
      <c r="A15" s="111"/>
      <c r="B15" s="112"/>
      <c r="C15" s="124" t="s">
        <v>338</v>
      </c>
      <c r="D15" s="123">
        <f>V24</f>
        <v>0.95678592818015828</v>
      </c>
      <c r="E15" s="112"/>
      <c r="F15" s="112"/>
      <c r="G15" s="112"/>
      <c r="H15" s="112"/>
      <c r="I15" s="112"/>
      <c r="J15" s="112"/>
      <c r="K15" s="112"/>
      <c r="L15" s="112"/>
      <c r="M15" s="115"/>
      <c r="N15" s="111"/>
      <c r="O15" s="111"/>
      <c r="P15" s="116"/>
      <c r="Q15" s="116"/>
      <c r="R15" s="111"/>
      <c r="S15" s="111"/>
      <c r="T15" s="111"/>
      <c r="U15" s="111"/>
      <c r="V15" s="111"/>
      <c r="W15" s="111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</row>
    <row r="16" spans="1:33" ht="18" customHeight="1">
      <c r="A16" s="111"/>
      <c r="B16" s="112"/>
      <c r="C16" s="125" t="s">
        <v>375</v>
      </c>
      <c r="D16" s="123">
        <f>M24</f>
        <v>6442.619999999999</v>
      </c>
      <c r="E16" s="112"/>
      <c r="F16" s="112"/>
      <c r="G16" s="112"/>
      <c r="H16" s="112"/>
      <c r="I16" s="112"/>
      <c r="J16" s="112"/>
      <c r="K16" s="112"/>
      <c r="L16" s="112"/>
      <c r="M16" s="115"/>
      <c r="N16" s="111"/>
      <c r="O16" s="111"/>
      <c r="P16" s="116"/>
      <c r="Q16" s="116"/>
      <c r="R16" s="111"/>
      <c r="S16" s="111"/>
      <c r="T16" s="111"/>
      <c r="U16" s="111"/>
      <c r="V16" s="111"/>
      <c r="W16" s="111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</row>
    <row r="17" spans="1:33" ht="18" customHeight="1">
      <c r="A17" s="111"/>
      <c r="B17" s="112"/>
      <c r="C17" s="126" t="s">
        <v>344</v>
      </c>
      <c r="D17" s="127">
        <f>N24</f>
        <v>1417.3764000000001</v>
      </c>
      <c r="E17" s="112"/>
      <c r="F17" s="112"/>
      <c r="G17" s="112"/>
      <c r="H17" s="112"/>
      <c r="I17" s="112"/>
      <c r="J17" s="112"/>
      <c r="K17" s="112"/>
      <c r="L17" s="112"/>
      <c r="M17" s="115"/>
      <c r="N17" s="111"/>
      <c r="O17" s="111"/>
      <c r="P17" s="116"/>
      <c r="Q17" s="116"/>
      <c r="R17" s="111"/>
      <c r="S17" s="111"/>
      <c r="T17" s="111"/>
      <c r="U17" s="111"/>
      <c r="V17" s="111"/>
      <c r="W17" s="111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</row>
    <row r="18" spans="1:33" ht="18" customHeight="1" thickBot="1">
      <c r="A18" s="111"/>
      <c r="B18" s="112"/>
      <c r="C18" s="128" t="s">
        <v>376</v>
      </c>
      <c r="D18" s="129">
        <f>O24</f>
        <v>7859.9964</v>
      </c>
      <c r="E18" s="112"/>
      <c r="F18" s="112"/>
      <c r="G18" s="112"/>
      <c r="H18" s="112"/>
      <c r="I18" s="112"/>
      <c r="J18" s="112"/>
      <c r="K18" s="112"/>
      <c r="L18" s="112"/>
      <c r="M18" s="115"/>
      <c r="N18" s="111"/>
      <c r="O18" s="111"/>
      <c r="P18" s="116"/>
      <c r="Q18" s="116"/>
      <c r="R18" s="111"/>
      <c r="S18" s="111"/>
      <c r="T18" s="111"/>
      <c r="U18" s="111"/>
      <c r="V18" s="111"/>
      <c r="W18" s="111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</row>
    <row r="19" spans="1:33" ht="18" customHeight="1" thickBot="1">
      <c r="A19" s="130"/>
      <c r="B19" s="131"/>
      <c r="C19" s="131"/>
      <c r="D19" s="132"/>
      <c r="E19" s="132"/>
      <c r="F19" s="132"/>
      <c r="G19" s="133"/>
      <c r="H19" s="134"/>
      <c r="I19" s="113"/>
      <c r="J19" s="132"/>
      <c r="K19" s="132"/>
      <c r="L19" s="132"/>
      <c r="M19" s="130"/>
      <c r="N19" s="132"/>
      <c r="O19" s="135"/>
      <c r="P19" s="238" t="s">
        <v>377</v>
      </c>
      <c r="Q19" s="239"/>
      <c r="R19" s="239"/>
      <c r="S19" s="239"/>
      <c r="T19" s="239"/>
      <c r="U19" s="239"/>
      <c r="V19" s="240"/>
      <c r="W19" s="130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</row>
    <row r="20" spans="1:33" ht="102" customHeight="1" thickBot="1">
      <c r="A20" s="130"/>
      <c r="B20" s="137" t="s">
        <v>378</v>
      </c>
      <c r="C20" s="138" t="s">
        <v>379</v>
      </c>
      <c r="D20" s="139" t="s">
        <v>380</v>
      </c>
      <c r="E20" s="138" t="s">
        <v>381</v>
      </c>
      <c r="F20" s="138" t="s">
        <v>382</v>
      </c>
      <c r="G20" s="139" t="s">
        <v>383</v>
      </c>
      <c r="H20" s="138" t="s">
        <v>384</v>
      </c>
      <c r="I20" s="241" t="s">
        <v>385</v>
      </c>
      <c r="J20" s="242"/>
      <c r="K20" s="140" t="s">
        <v>386</v>
      </c>
      <c r="L20" s="141" t="s">
        <v>387</v>
      </c>
      <c r="M20" s="140" t="s">
        <v>388</v>
      </c>
      <c r="N20" s="141" t="s">
        <v>389</v>
      </c>
      <c r="O20" s="142" t="s">
        <v>390</v>
      </c>
      <c r="P20" s="143" t="s">
        <v>323</v>
      </c>
      <c r="Q20" s="138" t="s">
        <v>38</v>
      </c>
      <c r="R20" s="138" t="s">
        <v>328</v>
      </c>
      <c r="S20" s="138" t="s">
        <v>331</v>
      </c>
      <c r="T20" s="139" t="s">
        <v>391</v>
      </c>
      <c r="U20" s="139" t="s">
        <v>392</v>
      </c>
      <c r="V20" s="144" t="s">
        <v>338</v>
      </c>
      <c r="W20" s="130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</row>
    <row r="21" spans="1:33" ht="129" customHeight="1" thickBot="1">
      <c r="A21" s="132"/>
      <c r="B21" s="145">
        <v>1</v>
      </c>
      <c r="C21" s="146" t="s">
        <v>393</v>
      </c>
      <c r="D21" s="147" t="s">
        <v>394</v>
      </c>
      <c r="E21" s="221" t="s">
        <v>454</v>
      </c>
      <c r="F21" s="148" t="s">
        <v>43</v>
      </c>
      <c r="G21" s="149" t="s">
        <v>395</v>
      </c>
      <c r="H21" s="150" t="s">
        <v>396</v>
      </c>
      <c r="I21" s="150">
        <v>1</v>
      </c>
      <c r="J21" s="150" t="s">
        <v>397</v>
      </c>
      <c r="K21" s="150" t="s">
        <v>398</v>
      </c>
      <c r="L21" s="148">
        <v>6</v>
      </c>
      <c r="M21" s="151">
        <v>3000</v>
      </c>
      <c r="N21" s="151">
        <f t="shared" ref="N21:N22" si="0">M21*0.22</f>
        <v>660</v>
      </c>
      <c r="O21" s="152">
        <f>M21+N21</f>
        <v>3660</v>
      </c>
      <c r="P21" s="153">
        <f t="shared" ref="P21" si="1">Q21/R21</f>
        <v>21186.440677966104</v>
      </c>
      <c r="Q21" s="154">
        <f t="shared" ref="Q21" si="2">O21/S21</f>
        <v>500</v>
      </c>
      <c r="R21" s="156">
        <v>2.3599999999999999E-2</v>
      </c>
      <c r="S21" s="155">
        <f t="shared" ref="S21" si="3">L21*1.22</f>
        <v>7.32</v>
      </c>
      <c r="T21" s="156">
        <v>0.05</v>
      </c>
      <c r="U21" s="154">
        <f t="shared" ref="U21:U22" si="4">Q21*T21</f>
        <v>25</v>
      </c>
      <c r="V21" s="157">
        <f t="shared" ref="V21:V24" si="5">O21/U21</f>
        <v>146.4</v>
      </c>
      <c r="W21" s="132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</row>
    <row r="22" spans="1:33" ht="107.25" customHeight="1" thickBot="1">
      <c r="A22" s="132"/>
      <c r="B22" s="159">
        <f>B21+1</f>
        <v>2</v>
      </c>
      <c r="C22" s="160" t="s">
        <v>399</v>
      </c>
      <c r="D22" s="161" t="s">
        <v>400</v>
      </c>
      <c r="E22" s="222" t="s">
        <v>455</v>
      </c>
      <c r="F22" s="148" t="s">
        <v>43</v>
      </c>
      <c r="G22" s="163" t="s">
        <v>401</v>
      </c>
      <c r="H22" s="164" t="s">
        <v>396</v>
      </c>
      <c r="I22" s="164">
        <v>7</v>
      </c>
      <c r="J22" s="164" t="s">
        <v>456</v>
      </c>
      <c r="K22" s="164" t="s">
        <v>398</v>
      </c>
      <c r="L22" s="162">
        <v>0.21</v>
      </c>
      <c r="M22" s="165">
        <v>1721.31</v>
      </c>
      <c r="N22" s="165">
        <f t="shared" si="0"/>
        <v>378.68819999999999</v>
      </c>
      <c r="O22" s="166">
        <f>M22+N22</f>
        <v>2099.9982</v>
      </c>
      <c r="P22" s="167">
        <f>Q22/R22</f>
        <v>115494.97847919656</v>
      </c>
      <c r="Q22" s="168">
        <v>8050</v>
      </c>
      <c r="R22" s="169">
        <v>6.9699999999999998E-2</v>
      </c>
      <c r="S22" s="155">
        <f>O23/Q23</f>
        <v>0.26086934161490682</v>
      </c>
      <c r="T22" s="169">
        <v>1</v>
      </c>
      <c r="U22" s="168">
        <f t="shared" si="4"/>
        <v>8050</v>
      </c>
      <c r="V22" s="170">
        <f t="shared" si="5"/>
        <v>0.26086934161490682</v>
      </c>
      <c r="W22" s="132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</row>
    <row r="23" spans="1:33" ht="108" customHeight="1">
      <c r="A23" s="132"/>
      <c r="B23" s="159">
        <f>B22+1</f>
        <v>3</v>
      </c>
      <c r="C23" s="160" t="s">
        <v>399</v>
      </c>
      <c r="D23" s="161" t="s">
        <v>400</v>
      </c>
      <c r="E23" s="222" t="s">
        <v>457</v>
      </c>
      <c r="F23" s="148" t="s">
        <v>43</v>
      </c>
      <c r="G23" s="163" t="s">
        <v>401</v>
      </c>
      <c r="H23" s="164" t="s">
        <v>396</v>
      </c>
      <c r="I23" s="164">
        <v>7</v>
      </c>
      <c r="J23" s="164" t="s">
        <v>456</v>
      </c>
      <c r="K23" s="164" t="s">
        <v>398</v>
      </c>
      <c r="L23" s="162">
        <f>M23/8050</f>
        <v>0.21382732919254657</v>
      </c>
      <c r="M23" s="165">
        <v>1721.31</v>
      </c>
      <c r="N23" s="165">
        <f t="shared" ref="N23" si="6">M23*0.22</f>
        <v>378.68819999999999</v>
      </c>
      <c r="O23" s="166">
        <f>M23+N23</f>
        <v>2099.9982</v>
      </c>
      <c r="P23" s="167">
        <f>Q23/R23</f>
        <v>115494.97847919656</v>
      </c>
      <c r="Q23" s="168">
        <f>M23/L23</f>
        <v>8050</v>
      </c>
      <c r="R23" s="169">
        <v>6.9699999999999998E-2</v>
      </c>
      <c r="S23" s="155">
        <f>L23*1.22</f>
        <v>0.26086934161490682</v>
      </c>
      <c r="T23" s="169">
        <f>140/Q23</f>
        <v>1.7391304347826087E-2</v>
      </c>
      <c r="U23" s="168">
        <f>Q23*T23</f>
        <v>140</v>
      </c>
      <c r="V23" s="170">
        <f>O23/U23</f>
        <v>14.999987142857142</v>
      </c>
      <c r="W23" s="132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</row>
    <row r="24" spans="1:33" ht="28.5" customHeight="1" thickBot="1">
      <c r="A24" s="132"/>
      <c r="B24" s="171"/>
      <c r="C24" s="172" t="s">
        <v>402</v>
      </c>
      <c r="D24" s="173"/>
      <c r="E24" s="174"/>
      <c r="F24" s="174"/>
      <c r="G24" s="174"/>
      <c r="H24" s="174"/>
      <c r="I24" s="174"/>
      <c r="J24" s="174"/>
      <c r="K24" s="175"/>
      <c r="L24" s="176">
        <f>M24/Q24</f>
        <v>0.38810963855421682</v>
      </c>
      <c r="M24" s="176">
        <f>SUM(M21:M23)</f>
        <v>6442.619999999999</v>
      </c>
      <c r="N24" s="176">
        <f>SUM(N21:N23)</f>
        <v>1417.3764000000001</v>
      </c>
      <c r="O24" s="177">
        <f>SUM(O21:O23)</f>
        <v>7859.9964</v>
      </c>
      <c r="P24" s="178">
        <f>SUM(P21:P23)</f>
        <v>252176.39763635921</v>
      </c>
      <c r="Q24" s="175">
        <f>SUM(Q21:Q23)</f>
        <v>16600</v>
      </c>
      <c r="R24" s="179">
        <f>Q24/P24</f>
        <v>6.582693763409754E-2</v>
      </c>
      <c r="S24" s="176">
        <f>O24/Q24</f>
        <v>0.4734937590361446</v>
      </c>
      <c r="T24" s="179">
        <f>U24/Q24</f>
        <v>0.49487951807228914</v>
      </c>
      <c r="U24" s="180">
        <f>SUM(U21:U23)</f>
        <v>8215</v>
      </c>
      <c r="V24" s="181">
        <f t="shared" si="5"/>
        <v>0.95678592818015828</v>
      </c>
      <c r="W24" s="132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</row>
    <row r="25" spans="1:33" ht="20.25" customHeight="1">
      <c r="A25" s="111"/>
      <c r="B25" s="111"/>
      <c r="C25" s="111"/>
      <c r="D25" s="111"/>
      <c r="E25" s="111"/>
      <c r="F25" s="111"/>
      <c r="G25" s="111"/>
      <c r="H25" s="111"/>
      <c r="I25" s="111"/>
      <c r="J25" s="111"/>
      <c r="K25" s="112"/>
      <c r="L25" s="112"/>
      <c r="M25" s="115"/>
      <c r="N25" s="111"/>
      <c r="O25" s="111"/>
      <c r="P25" s="116"/>
      <c r="Q25" s="182"/>
      <c r="R25" s="112"/>
      <c r="S25" s="112"/>
      <c r="T25" s="112"/>
      <c r="U25" s="111"/>
      <c r="V25" s="111"/>
      <c r="W25" s="111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</row>
    <row r="26" spans="1:33" ht="20.25" customHeight="1" thickBot="1">
      <c r="A26" s="112"/>
      <c r="B26" s="112"/>
      <c r="C26" s="243"/>
      <c r="D26" s="235"/>
      <c r="E26" s="235"/>
      <c r="F26" s="235"/>
      <c r="G26" s="235"/>
      <c r="H26" s="235"/>
      <c r="I26" s="235"/>
      <c r="J26" s="235"/>
      <c r="K26" s="112"/>
      <c r="L26" s="112"/>
      <c r="M26" s="115"/>
      <c r="N26" s="111"/>
      <c r="O26" s="111"/>
      <c r="P26" s="116"/>
      <c r="Q26" s="183"/>
      <c r="R26" s="112"/>
      <c r="S26" s="112"/>
      <c r="T26" s="112"/>
      <c r="U26" s="112"/>
      <c r="V26" s="112"/>
      <c r="W26" s="112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</row>
    <row r="27" spans="1:33" ht="20.25" customHeight="1">
      <c r="A27" s="112"/>
      <c r="B27" s="112"/>
      <c r="C27" s="243"/>
      <c r="D27" s="235"/>
      <c r="E27" s="235"/>
      <c r="F27" s="235"/>
      <c r="G27" s="235"/>
      <c r="H27" s="235"/>
      <c r="I27" s="235"/>
      <c r="J27" s="235"/>
      <c r="K27" s="244" t="s">
        <v>403</v>
      </c>
      <c r="L27" s="245"/>
      <c r="M27" s="184" t="s">
        <v>404</v>
      </c>
      <c r="N27" s="184" t="s">
        <v>405</v>
      </c>
      <c r="O27" s="185" t="s">
        <v>406</v>
      </c>
      <c r="P27" s="116"/>
      <c r="Q27" s="182"/>
      <c r="R27" s="112"/>
      <c r="S27" s="112"/>
      <c r="T27" s="112"/>
      <c r="U27" s="112"/>
      <c r="V27" s="112"/>
      <c r="W27" s="112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</row>
    <row r="28" spans="1:33" ht="20.25" customHeight="1">
      <c r="A28" s="112"/>
      <c r="B28" s="112"/>
      <c r="C28" s="234"/>
      <c r="D28" s="235"/>
      <c r="E28" s="235"/>
      <c r="F28" s="235"/>
      <c r="G28" s="235"/>
      <c r="H28" s="235"/>
      <c r="I28" s="112"/>
      <c r="J28" s="112"/>
      <c r="K28" s="236" t="s">
        <v>407</v>
      </c>
      <c r="L28" s="237"/>
      <c r="M28" s="186">
        <f>M24</f>
        <v>6442.619999999999</v>
      </c>
      <c r="N28" s="186">
        <f t="shared" ref="N28:N30" si="7">M28*0.22</f>
        <v>1417.3763999999999</v>
      </c>
      <c r="O28" s="187">
        <f>M28+N28</f>
        <v>7859.9963999999991</v>
      </c>
      <c r="P28" s="116"/>
      <c r="Q28" s="182"/>
      <c r="R28" s="112"/>
      <c r="S28" s="112"/>
      <c r="T28" s="111"/>
      <c r="U28" s="111"/>
      <c r="V28" s="111"/>
      <c r="W28" s="111"/>
      <c r="X28" s="104"/>
      <c r="Y28" s="104"/>
      <c r="Z28" s="105"/>
      <c r="AA28" s="105"/>
      <c r="AB28" s="105"/>
      <c r="AC28" s="105"/>
      <c r="AD28" s="105"/>
      <c r="AE28" s="105"/>
      <c r="AF28" s="105"/>
      <c r="AG28" s="105"/>
    </row>
    <row r="29" spans="1:33" ht="18" customHeight="1">
      <c r="A29" s="112"/>
      <c r="B29" s="112"/>
      <c r="C29" s="112"/>
      <c r="D29" s="188"/>
      <c r="E29" s="112"/>
      <c r="F29" s="112"/>
      <c r="G29" s="112"/>
      <c r="H29" s="112"/>
      <c r="I29" s="112"/>
      <c r="J29" s="112"/>
      <c r="K29" s="236" t="s">
        <v>408</v>
      </c>
      <c r="L29" s="237"/>
      <c r="M29" s="189">
        <f>O29/1.22</f>
        <v>0</v>
      </c>
      <c r="N29" s="186">
        <f t="shared" si="7"/>
        <v>0</v>
      </c>
      <c r="O29" s="190"/>
      <c r="P29" s="116"/>
      <c r="Q29" s="116"/>
      <c r="R29" s="112"/>
      <c r="S29" s="112"/>
      <c r="T29" s="112"/>
      <c r="U29" s="112"/>
      <c r="V29" s="112"/>
      <c r="W29" s="112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</row>
    <row r="30" spans="1:33" ht="28.5" customHeight="1" thickBot="1">
      <c r="A30" s="112"/>
      <c r="B30" s="112"/>
      <c r="C30" s="112"/>
      <c r="D30" s="188"/>
      <c r="E30" s="112"/>
      <c r="F30" s="112"/>
      <c r="G30" s="112"/>
      <c r="H30" s="112"/>
      <c r="I30" s="112"/>
      <c r="J30" s="112"/>
      <c r="K30" s="246" t="s">
        <v>409</v>
      </c>
      <c r="L30" s="247"/>
      <c r="M30" s="191">
        <f>SUM(M28:M29)</f>
        <v>6442.619999999999</v>
      </c>
      <c r="N30" s="191">
        <f t="shared" si="7"/>
        <v>1417.3763999999999</v>
      </c>
      <c r="O30" s="192">
        <f>M30+N30</f>
        <v>7859.9963999999991</v>
      </c>
      <c r="P30" s="116"/>
      <c r="Q30" s="116"/>
      <c r="R30" s="112"/>
      <c r="S30" s="112"/>
      <c r="T30" s="112"/>
      <c r="U30" s="112"/>
      <c r="V30" s="112"/>
      <c r="W30" s="112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</row>
    <row r="31" spans="1:33" ht="18" customHeight="1">
      <c r="A31" s="112"/>
      <c r="B31" s="112"/>
      <c r="C31" s="112"/>
      <c r="D31" s="112"/>
      <c r="E31" s="112"/>
      <c r="F31" s="112"/>
      <c r="G31" s="193"/>
      <c r="H31" s="112"/>
      <c r="I31" s="112"/>
      <c r="J31" s="112"/>
      <c r="K31" s="111"/>
      <c r="L31" s="111"/>
      <c r="M31" s="194"/>
      <c r="N31" s="111"/>
      <c r="O31" s="111"/>
      <c r="P31" s="116"/>
      <c r="Q31" s="116"/>
      <c r="R31" s="112"/>
      <c r="S31" s="112"/>
      <c r="T31" s="111"/>
      <c r="U31" s="111"/>
      <c r="V31" s="111"/>
      <c r="W31" s="111"/>
      <c r="X31" s="104"/>
      <c r="Y31" s="104"/>
      <c r="Z31" s="105"/>
      <c r="AA31" s="105"/>
      <c r="AB31" s="105"/>
      <c r="AC31" s="105"/>
      <c r="AD31" s="105"/>
      <c r="AE31" s="105"/>
      <c r="AF31" s="105"/>
      <c r="AG31" s="105"/>
    </row>
    <row r="32" spans="1:33" ht="18" customHeight="1">
      <c r="A32" s="105"/>
      <c r="B32" s="105"/>
      <c r="C32" s="105"/>
      <c r="D32" s="109"/>
      <c r="E32" s="105"/>
      <c r="F32" s="105"/>
      <c r="G32" s="195"/>
      <c r="H32" s="196"/>
      <c r="I32" s="105"/>
      <c r="J32" s="105"/>
      <c r="K32" s="104"/>
      <c r="L32" s="104"/>
      <c r="M32" s="197"/>
      <c r="N32" s="104"/>
      <c r="O32" s="104"/>
      <c r="P32" s="107"/>
      <c r="Q32" s="107"/>
      <c r="R32" s="104"/>
      <c r="S32" s="104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</row>
    <row r="33" spans="1:33" ht="18" customHeight="1" thickBot="1">
      <c r="A33" s="105"/>
      <c r="B33" s="105"/>
      <c r="C33" s="105"/>
      <c r="D33" s="105"/>
      <c r="E33" s="105"/>
      <c r="F33" s="105"/>
      <c r="G33" s="195"/>
      <c r="H33" s="196"/>
      <c r="I33" s="105"/>
      <c r="J33" s="105"/>
      <c r="K33" s="248" t="s">
        <v>410</v>
      </c>
      <c r="L33" s="249"/>
      <c r="M33" s="249"/>
      <c r="N33" s="104"/>
      <c r="O33" s="104"/>
      <c r="P33" s="107"/>
      <c r="Q33" s="107"/>
      <c r="R33" s="104"/>
      <c r="S33" s="104"/>
      <c r="T33" s="104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</row>
    <row r="34" spans="1:33" ht="18" customHeight="1">
      <c r="A34" s="105"/>
      <c r="B34" s="105"/>
      <c r="C34" s="105"/>
      <c r="D34" s="105"/>
      <c r="E34" s="105"/>
      <c r="F34" s="105"/>
      <c r="G34" s="105"/>
      <c r="H34" s="196"/>
      <c r="I34" s="105"/>
      <c r="J34" s="105"/>
      <c r="K34" s="250" t="s">
        <v>460</v>
      </c>
      <c r="L34" s="251"/>
      <c r="M34" s="251"/>
      <c r="N34" s="251"/>
      <c r="O34" s="252"/>
      <c r="P34" s="107"/>
      <c r="Q34" s="107"/>
      <c r="R34" s="104"/>
      <c r="S34" s="104"/>
      <c r="T34" s="104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</row>
    <row r="35" spans="1:33" ht="18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253"/>
      <c r="L35" s="254"/>
      <c r="M35" s="254"/>
      <c r="N35" s="254"/>
      <c r="O35" s="255"/>
      <c r="P35" s="107"/>
      <c r="Q35" s="107"/>
      <c r="R35" s="104"/>
      <c r="S35" s="104"/>
      <c r="T35" s="104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</row>
    <row r="36" spans="1:33" ht="12.75" customHeight="1">
      <c r="A36" s="105"/>
      <c r="B36" s="105"/>
      <c r="C36" s="105"/>
      <c r="D36" s="259"/>
      <c r="E36" s="235"/>
      <c r="F36" s="105"/>
      <c r="G36" s="105"/>
      <c r="H36" s="105"/>
      <c r="I36" s="105"/>
      <c r="J36" s="105"/>
      <c r="K36" s="253"/>
      <c r="L36" s="254"/>
      <c r="M36" s="254"/>
      <c r="N36" s="254"/>
      <c r="O36" s="255"/>
      <c r="P36" s="107"/>
      <c r="Q36" s="107"/>
      <c r="R36" s="104"/>
      <c r="S36" s="104"/>
      <c r="T36" s="104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</row>
    <row r="37" spans="1:33" ht="18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253"/>
      <c r="L37" s="254"/>
      <c r="M37" s="254"/>
      <c r="N37" s="254"/>
      <c r="O37" s="255"/>
      <c r="P37" s="107"/>
      <c r="Q37" s="107"/>
      <c r="R37" s="104"/>
      <c r="S37" s="104"/>
      <c r="T37" s="104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</row>
    <row r="38" spans="1:33" ht="18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253"/>
      <c r="L38" s="254"/>
      <c r="M38" s="254"/>
      <c r="N38" s="254"/>
      <c r="O38" s="255"/>
      <c r="P38" s="107"/>
      <c r="Q38" s="107"/>
      <c r="R38" s="104"/>
      <c r="S38" s="104"/>
      <c r="T38" s="104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</row>
    <row r="39" spans="1:33" ht="108.75" customHeight="1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256"/>
      <c r="L39" s="257"/>
      <c r="M39" s="257"/>
      <c r="N39" s="257"/>
      <c r="O39" s="258"/>
      <c r="P39" s="107"/>
      <c r="Q39" s="107"/>
      <c r="R39" s="104"/>
      <c r="S39" s="104"/>
      <c r="T39" s="104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</row>
    <row r="40" spans="1:33" ht="18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4"/>
      <c r="L40" s="104"/>
      <c r="M40" s="197"/>
      <c r="N40" s="104"/>
      <c r="O40" s="104"/>
      <c r="P40" s="107"/>
      <c r="Q40" s="107"/>
      <c r="R40" s="104"/>
      <c r="S40" s="104"/>
      <c r="T40" s="104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</row>
    <row r="41" spans="1:33" ht="18" customHeight="1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97"/>
      <c r="N41" s="104"/>
      <c r="O41" s="104"/>
      <c r="P41" s="107"/>
      <c r="Q41" s="107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</row>
    <row r="42" spans="1:33" ht="18" customHeight="1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97"/>
      <c r="N42" s="104"/>
      <c r="O42" s="104"/>
      <c r="P42" s="107"/>
      <c r="Q42" s="107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</row>
    <row r="43" spans="1:33" ht="18" customHeight="1">
      <c r="A43" s="104"/>
      <c r="B43" s="104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97"/>
      <c r="N43" s="104"/>
      <c r="O43" s="104"/>
      <c r="P43" s="107"/>
      <c r="Q43" s="107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</row>
    <row r="44" spans="1:33" ht="18" customHeight="1">
      <c r="A44" s="104"/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197"/>
      <c r="N44" s="104"/>
      <c r="O44" s="104"/>
      <c r="P44" s="107"/>
      <c r="Q44" s="107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</row>
    <row r="45" spans="1:33" ht="18" customHeight="1">
      <c r="A45" s="104"/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97"/>
      <c r="N45" s="104"/>
      <c r="O45" s="104"/>
      <c r="P45" s="107"/>
      <c r="Q45" s="107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</row>
    <row r="46" spans="1:33" ht="18" customHeight="1">
      <c r="A46" s="104"/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97"/>
      <c r="N46" s="104"/>
      <c r="O46" s="104"/>
      <c r="P46" s="107"/>
      <c r="Q46" s="107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</row>
    <row r="47" spans="1:33" ht="18" customHeight="1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97"/>
      <c r="N47" s="104"/>
      <c r="O47" s="104"/>
      <c r="P47" s="107"/>
      <c r="Q47" s="107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</row>
    <row r="48" spans="1:33" ht="18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97"/>
      <c r="N48" s="104"/>
      <c r="O48" s="104"/>
      <c r="P48" s="107"/>
      <c r="Q48" s="107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</row>
    <row r="49" spans="1:33" ht="18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97"/>
      <c r="N49" s="104"/>
      <c r="O49" s="104"/>
      <c r="P49" s="107"/>
      <c r="Q49" s="107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</row>
    <row r="50" spans="1:33" ht="18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97"/>
      <c r="N50" s="104"/>
      <c r="O50" s="104"/>
      <c r="P50" s="107"/>
      <c r="Q50" s="107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</row>
    <row r="51" spans="1:33" ht="18" customHeight="1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97"/>
      <c r="N51" s="104"/>
      <c r="O51" s="104"/>
      <c r="P51" s="107"/>
      <c r="Q51" s="107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</row>
    <row r="52" spans="1:33" ht="18" customHeight="1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97"/>
      <c r="N52" s="104"/>
      <c r="O52" s="104"/>
      <c r="P52" s="107"/>
      <c r="Q52" s="107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</row>
    <row r="53" spans="1:33" ht="18" customHeight="1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97"/>
      <c r="N53" s="104"/>
      <c r="O53" s="104"/>
      <c r="P53" s="107"/>
      <c r="Q53" s="107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</row>
    <row r="54" spans="1:33" ht="18" customHeight="1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97"/>
      <c r="N54" s="104"/>
      <c r="O54" s="104"/>
      <c r="P54" s="107"/>
      <c r="Q54" s="107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</row>
    <row r="55" spans="1:33" ht="18" customHeight="1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97"/>
      <c r="N55" s="104"/>
      <c r="O55" s="104"/>
      <c r="P55" s="107"/>
      <c r="Q55" s="107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</row>
    <row r="56" spans="1:33" ht="18" customHeight="1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97"/>
      <c r="N56" s="104"/>
      <c r="O56" s="104"/>
      <c r="P56" s="107"/>
      <c r="Q56" s="107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</row>
    <row r="57" spans="1:33" ht="18" customHeight="1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97"/>
      <c r="N57" s="104"/>
      <c r="O57" s="104"/>
      <c r="P57" s="107"/>
      <c r="Q57" s="107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</row>
    <row r="58" spans="1:33" ht="18" customHeight="1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97"/>
      <c r="N58" s="104"/>
      <c r="O58" s="104"/>
      <c r="P58" s="107"/>
      <c r="Q58" s="107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</row>
    <row r="59" spans="1:33" ht="18" customHeight="1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97"/>
      <c r="N59" s="104"/>
      <c r="O59" s="104"/>
      <c r="P59" s="107"/>
      <c r="Q59" s="107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</row>
    <row r="60" spans="1:33" ht="18" customHeight="1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97"/>
      <c r="N60" s="104"/>
      <c r="O60" s="104"/>
      <c r="P60" s="107"/>
      <c r="Q60" s="107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</row>
    <row r="61" spans="1:33" ht="18" customHeight="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97"/>
      <c r="N61" s="104"/>
      <c r="O61" s="104"/>
      <c r="P61" s="107"/>
      <c r="Q61" s="107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</row>
    <row r="62" spans="1:33" ht="18" customHeight="1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97"/>
      <c r="N62" s="104"/>
      <c r="O62" s="104"/>
      <c r="P62" s="107"/>
      <c r="Q62" s="107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</row>
    <row r="63" spans="1:33" ht="18" customHeight="1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97"/>
      <c r="N63" s="104"/>
      <c r="O63" s="104"/>
      <c r="P63" s="107"/>
      <c r="Q63" s="107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</row>
    <row r="64" spans="1:33" ht="18" customHeight="1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97"/>
      <c r="N64" s="104"/>
      <c r="O64" s="104"/>
      <c r="P64" s="107"/>
      <c r="Q64" s="107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</row>
    <row r="65" spans="1:33" ht="18" customHeight="1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97"/>
      <c r="N65" s="104"/>
      <c r="O65" s="104"/>
      <c r="P65" s="107"/>
      <c r="Q65" s="107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</row>
    <row r="66" spans="1:33" ht="18" customHeight="1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97"/>
      <c r="N66" s="104"/>
      <c r="O66" s="104"/>
      <c r="P66" s="107"/>
      <c r="Q66" s="107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</row>
    <row r="67" spans="1:33" ht="18" customHeight="1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97"/>
      <c r="N67" s="104"/>
      <c r="O67" s="104"/>
      <c r="P67" s="107"/>
      <c r="Q67" s="107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</row>
    <row r="68" spans="1:33" ht="18" customHeight="1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97"/>
      <c r="N68" s="104"/>
      <c r="O68" s="104"/>
      <c r="P68" s="107"/>
      <c r="Q68" s="107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</row>
    <row r="69" spans="1:33" ht="18" customHeight="1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97"/>
      <c r="N69" s="104"/>
      <c r="O69" s="104"/>
      <c r="P69" s="107"/>
      <c r="Q69" s="107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</row>
    <row r="70" spans="1:33" ht="18" customHeight="1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97"/>
      <c r="N70" s="104"/>
      <c r="O70" s="104"/>
      <c r="P70" s="107"/>
      <c r="Q70" s="107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</row>
    <row r="71" spans="1:33" ht="18" customHeight="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97"/>
      <c r="N71" s="104"/>
      <c r="O71" s="104"/>
      <c r="P71" s="107"/>
      <c r="Q71" s="107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</row>
    <row r="72" spans="1:33" ht="18" customHeight="1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97"/>
      <c r="N72" s="104"/>
      <c r="O72" s="104"/>
      <c r="P72" s="107"/>
      <c r="Q72" s="107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</row>
    <row r="73" spans="1:33" ht="18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97"/>
      <c r="N73" s="104"/>
      <c r="O73" s="104"/>
      <c r="P73" s="107"/>
      <c r="Q73" s="107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</row>
    <row r="74" spans="1:33" ht="18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97"/>
      <c r="N74" s="104"/>
      <c r="O74" s="104"/>
      <c r="P74" s="107"/>
      <c r="Q74" s="107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</row>
    <row r="75" spans="1:33" ht="18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97"/>
      <c r="N75" s="104"/>
      <c r="O75" s="104"/>
      <c r="P75" s="107"/>
      <c r="Q75" s="107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</row>
    <row r="76" spans="1:33" ht="18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97"/>
      <c r="N76" s="104"/>
      <c r="O76" s="104"/>
      <c r="P76" s="107"/>
      <c r="Q76" s="107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</row>
    <row r="77" spans="1:33" ht="18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97"/>
      <c r="N77" s="104"/>
      <c r="O77" s="104"/>
      <c r="P77" s="107"/>
      <c r="Q77" s="107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</row>
    <row r="78" spans="1:33" ht="18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97"/>
      <c r="N78" s="104"/>
      <c r="O78" s="104"/>
      <c r="P78" s="107"/>
      <c r="Q78" s="107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</row>
    <row r="79" spans="1:33" ht="18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97"/>
      <c r="N79" s="104"/>
      <c r="O79" s="104"/>
      <c r="P79" s="107"/>
      <c r="Q79" s="107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</row>
    <row r="80" spans="1:33" ht="18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97"/>
      <c r="N80" s="104"/>
      <c r="O80" s="104"/>
      <c r="P80" s="107"/>
      <c r="Q80" s="107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</row>
    <row r="81" spans="1:33" ht="18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97"/>
      <c r="N81" s="104"/>
      <c r="O81" s="104"/>
      <c r="P81" s="107"/>
      <c r="Q81" s="107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</row>
    <row r="82" spans="1:33" ht="18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97"/>
      <c r="N82" s="104"/>
      <c r="O82" s="104"/>
      <c r="P82" s="107"/>
      <c r="Q82" s="107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</row>
    <row r="83" spans="1:33" ht="18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97"/>
      <c r="N83" s="104"/>
      <c r="O83" s="104"/>
      <c r="P83" s="107"/>
      <c r="Q83" s="107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</row>
    <row r="84" spans="1:33" ht="18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97"/>
      <c r="N84" s="104"/>
      <c r="O84" s="104"/>
      <c r="P84" s="107"/>
      <c r="Q84" s="107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</row>
    <row r="85" spans="1:33" ht="18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97"/>
      <c r="N85" s="104"/>
      <c r="O85" s="104"/>
      <c r="P85" s="107"/>
      <c r="Q85" s="107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</row>
    <row r="86" spans="1:33" ht="18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97"/>
      <c r="N86" s="104"/>
      <c r="O86" s="104"/>
      <c r="P86" s="107"/>
      <c r="Q86" s="107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</row>
    <row r="87" spans="1:33" ht="18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97"/>
      <c r="N87" s="104"/>
      <c r="O87" s="104"/>
      <c r="P87" s="107"/>
      <c r="Q87" s="107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</row>
    <row r="88" spans="1:33" ht="18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97"/>
      <c r="N88" s="104"/>
      <c r="O88" s="104"/>
      <c r="P88" s="107"/>
      <c r="Q88" s="107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</row>
    <row r="89" spans="1:33" ht="18" customHeight="1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97"/>
      <c r="N89" s="104"/>
      <c r="O89" s="104"/>
      <c r="P89" s="107"/>
      <c r="Q89" s="107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</row>
    <row r="90" spans="1:33" ht="18" customHeight="1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97"/>
      <c r="N90" s="104"/>
      <c r="O90" s="104"/>
      <c r="P90" s="107"/>
      <c r="Q90" s="107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</row>
    <row r="91" spans="1:33" ht="18" customHeight="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97"/>
      <c r="N91" s="104"/>
      <c r="O91" s="104"/>
      <c r="P91" s="107"/>
      <c r="Q91" s="107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</row>
    <row r="92" spans="1:33" ht="18" customHeight="1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97"/>
      <c r="N92" s="104"/>
      <c r="O92" s="104"/>
      <c r="P92" s="107"/>
      <c r="Q92" s="107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</row>
    <row r="93" spans="1:33" ht="18" customHeight="1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97"/>
      <c r="N93" s="104"/>
      <c r="O93" s="104"/>
      <c r="P93" s="107"/>
      <c r="Q93" s="107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</row>
    <row r="94" spans="1:33" ht="18" customHeight="1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97"/>
      <c r="N94" s="104"/>
      <c r="O94" s="104"/>
      <c r="P94" s="107"/>
      <c r="Q94" s="107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</row>
    <row r="95" spans="1:33" ht="18" customHeight="1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97"/>
      <c r="N95" s="104"/>
      <c r="O95" s="104"/>
      <c r="P95" s="107"/>
      <c r="Q95" s="107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</row>
    <row r="96" spans="1:33" ht="18" customHeight="1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97"/>
      <c r="N96" s="104"/>
      <c r="O96" s="104"/>
      <c r="P96" s="107"/>
      <c r="Q96" s="107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</row>
    <row r="97" spans="1:33" ht="18" customHeight="1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97"/>
      <c r="N97" s="104"/>
      <c r="O97" s="104"/>
      <c r="P97" s="107"/>
      <c r="Q97" s="107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</row>
    <row r="98" spans="1:33" ht="18" customHeight="1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97"/>
      <c r="N98" s="104"/>
      <c r="O98" s="104"/>
      <c r="P98" s="107"/>
      <c r="Q98" s="107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</row>
    <row r="99" spans="1:33" ht="18" customHeight="1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97"/>
      <c r="N99" s="104"/>
      <c r="O99" s="104"/>
      <c r="P99" s="107"/>
      <c r="Q99" s="107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</row>
    <row r="100" spans="1:33" ht="18" customHeight="1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97"/>
      <c r="N100" s="104"/>
      <c r="O100" s="104"/>
      <c r="P100" s="107"/>
      <c r="Q100" s="107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</row>
    <row r="101" spans="1:33" ht="18" customHeight="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97"/>
      <c r="N101" s="104"/>
      <c r="O101" s="104"/>
      <c r="P101" s="107"/>
      <c r="Q101" s="107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</row>
    <row r="102" spans="1:33" ht="18" customHeight="1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97"/>
      <c r="N102" s="104"/>
      <c r="O102" s="104"/>
      <c r="P102" s="107"/>
      <c r="Q102" s="107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</row>
    <row r="103" spans="1:33" ht="18" customHeight="1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97"/>
      <c r="N103" s="104"/>
      <c r="O103" s="104"/>
      <c r="P103" s="107"/>
      <c r="Q103" s="107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</row>
    <row r="104" spans="1:33" ht="18" customHeight="1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97"/>
      <c r="N104" s="104"/>
      <c r="O104" s="104"/>
      <c r="P104" s="107"/>
      <c r="Q104" s="107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</row>
    <row r="105" spans="1:33" ht="18" customHeight="1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97"/>
      <c r="N105" s="104"/>
      <c r="O105" s="104"/>
      <c r="P105" s="107"/>
      <c r="Q105" s="107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</row>
    <row r="106" spans="1:33" ht="18" customHeight="1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97"/>
      <c r="N106" s="104"/>
      <c r="O106" s="104"/>
      <c r="P106" s="107"/>
      <c r="Q106" s="107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</row>
    <row r="107" spans="1:33" ht="18" customHeight="1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97"/>
      <c r="N107" s="104"/>
      <c r="O107" s="104"/>
      <c r="P107" s="107"/>
      <c r="Q107" s="107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</row>
    <row r="108" spans="1:33" ht="18" customHeight="1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97"/>
      <c r="N108" s="104"/>
      <c r="O108" s="104"/>
      <c r="P108" s="107"/>
      <c r="Q108" s="107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</row>
    <row r="109" spans="1:33" ht="18" customHeight="1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97"/>
      <c r="N109" s="104"/>
      <c r="O109" s="104"/>
      <c r="P109" s="107"/>
      <c r="Q109" s="107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</row>
    <row r="110" spans="1:33" ht="18" customHeight="1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97"/>
      <c r="N110" s="104"/>
      <c r="O110" s="104"/>
      <c r="P110" s="107"/>
      <c r="Q110" s="107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</row>
    <row r="111" spans="1:33" ht="18" customHeight="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97"/>
      <c r="N111" s="104"/>
      <c r="O111" s="104"/>
      <c r="P111" s="107"/>
      <c r="Q111" s="107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</row>
    <row r="112" spans="1:33" ht="18" customHeight="1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97"/>
      <c r="N112" s="104"/>
      <c r="O112" s="104"/>
      <c r="P112" s="107"/>
      <c r="Q112" s="107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</row>
    <row r="113" spans="1:33" ht="18" customHeight="1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97"/>
      <c r="N113" s="104"/>
      <c r="O113" s="104"/>
      <c r="P113" s="107"/>
      <c r="Q113" s="107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</row>
    <row r="114" spans="1:33" ht="18" customHeight="1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97"/>
      <c r="N114" s="104"/>
      <c r="O114" s="104"/>
      <c r="P114" s="107"/>
      <c r="Q114" s="107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</row>
    <row r="115" spans="1:33" ht="18" customHeight="1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97"/>
      <c r="N115" s="104"/>
      <c r="O115" s="104"/>
      <c r="P115" s="107"/>
      <c r="Q115" s="107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</row>
    <row r="116" spans="1:33" ht="18" customHeight="1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97"/>
      <c r="N116" s="104"/>
      <c r="O116" s="104"/>
      <c r="P116" s="107"/>
      <c r="Q116" s="107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</row>
    <row r="117" spans="1:33" ht="18" customHeight="1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97"/>
      <c r="N117" s="104"/>
      <c r="O117" s="104"/>
      <c r="P117" s="107"/>
      <c r="Q117" s="107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</row>
    <row r="118" spans="1:33" ht="18" customHeight="1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97"/>
      <c r="N118" s="104"/>
      <c r="O118" s="104"/>
      <c r="P118" s="107"/>
      <c r="Q118" s="107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</row>
    <row r="119" spans="1:33" ht="18" customHeight="1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97"/>
      <c r="N119" s="104"/>
      <c r="O119" s="104"/>
      <c r="P119" s="107"/>
      <c r="Q119" s="107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</row>
    <row r="120" spans="1:33" ht="18" customHeight="1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97"/>
      <c r="N120" s="104"/>
      <c r="O120" s="104"/>
      <c r="P120" s="107"/>
      <c r="Q120" s="107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</row>
    <row r="121" spans="1:33" ht="18" customHeight="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97"/>
      <c r="N121" s="104"/>
      <c r="O121" s="104"/>
      <c r="P121" s="107"/>
      <c r="Q121" s="107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</row>
    <row r="122" spans="1:33" ht="18" customHeight="1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97"/>
      <c r="N122" s="104"/>
      <c r="O122" s="104"/>
      <c r="P122" s="107"/>
      <c r="Q122" s="107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</row>
    <row r="123" spans="1:33" ht="18" customHeight="1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97"/>
      <c r="N123" s="104"/>
      <c r="O123" s="104"/>
      <c r="P123" s="107"/>
      <c r="Q123" s="107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</row>
    <row r="124" spans="1:33" ht="18" customHeight="1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97"/>
      <c r="N124" s="104"/>
      <c r="O124" s="104"/>
      <c r="P124" s="107"/>
      <c r="Q124" s="107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</row>
    <row r="125" spans="1:33" ht="18" customHeight="1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97"/>
      <c r="N125" s="104"/>
      <c r="O125" s="104"/>
      <c r="P125" s="107"/>
      <c r="Q125" s="107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</row>
    <row r="126" spans="1:33" ht="18" customHeight="1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97"/>
      <c r="N126" s="104"/>
      <c r="O126" s="104"/>
      <c r="P126" s="107"/>
      <c r="Q126" s="107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</row>
    <row r="127" spans="1:33" ht="18" customHeight="1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97"/>
      <c r="N127" s="104"/>
      <c r="O127" s="104"/>
      <c r="P127" s="107"/>
      <c r="Q127" s="107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</row>
    <row r="128" spans="1:33" ht="18" customHeight="1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97"/>
      <c r="N128" s="104"/>
      <c r="O128" s="104"/>
      <c r="P128" s="107"/>
      <c r="Q128" s="107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</row>
    <row r="129" spans="1:33" ht="18" customHeight="1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97"/>
      <c r="N129" s="104"/>
      <c r="O129" s="104"/>
      <c r="P129" s="107"/>
      <c r="Q129" s="107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</row>
    <row r="130" spans="1:33" ht="18" customHeight="1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97"/>
      <c r="N130" s="104"/>
      <c r="O130" s="104"/>
      <c r="P130" s="107"/>
      <c r="Q130" s="107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</row>
    <row r="131" spans="1:33" ht="18" customHeight="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97"/>
      <c r="N131" s="104"/>
      <c r="O131" s="104"/>
      <c r="P131" s="107"/>
      <c r="Q131" s="107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</row>
    <row r="132" spans="1:33" ht="18" customHeight="1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97"/>
      <c r="N132" s="104"/>
      <c r="O132" s="104"/>
      <c r="P132" s="107"/>
      <c r="Q132" s="107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</row>
    <row r="133" spans="1:33" ht="18" customHeight="1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97"/>
      <c r="N133" s="104"/>
      <c r="O133" s="104"/>
      <c r="P133" s="107"/>
      <c r="Q133" s="107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</row>
    <row r="134" spans="1:33" ht="18" customHeight="1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97"/>
      <c r="N134" s="104"/>
      <c r="O134" s="104"/>
      <c r="P134" s="107"/>
      <c r="Q134" s="107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</row>
    <row r="135" spans="1:33" ht="18" customHeight="1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97"/>
      <c r="N135" s="104"/>
      <c r="O135" s="104"/>
      <c r="P135" s="107"/>
      <c r="Q135" s="107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</row>
    <row r="136" spans="1:33" ht="18" customHeight="1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97"/>
      <c r="N136" s="104"/>
      <c r="O136" s="104"/>
      <c r="P136" s="107"/>
      <c r="Q136" s="107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</row>
    <row r="137" spans="1:33" ht="18" customHeight="1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97"/>
      <c r="N137" s="104"/>
      <c r="O137" s="104"/>
      <c r="P137" s="107"/>
      <c r="Q137" s="107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</row>
    <row r="138" spans="1:33" ht="18" customHeight="1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97"/>
      <c r="N138" s="104"/>
      <c r="O138" s="104"/>
      <c r="P138" s="107"/>
      <c r="Q138" s="107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</row>
    <row r="139" spans="1:33" ht="18" customHeight="1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97"/>
      <c r="N139" s="104"/>
      <c r="O139" s="104"/>
      <c r="P139" s="107"/>
      <c r="Q139" s="107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</row>
    <row r="140" spans="1:33" ht="18" customHeight="1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97"/>
      <c r="N140" s="104"/>
      <c r="O140" s="104"/>
      <c r="P140" s="107"/>
      <c r="Q140" s="107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</row>
    <row r="141" spans="1:33" ht="18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97"/>
      <c r="N141" s="104"/>
      <c r="O141" s="104"/>
      <c r="P141" s="107"/>
      <c r="Q141" s="107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</row>
    <row r="142" spans="1:33" ht="18" customHeight="1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97"/>
      <c r="N142" s="104"/>
      <c r="O142" s="104"/>
      <c r="P142" s="107"/>
      <c r="Q142" s="107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</row>
    <row r="143" spans="1:33" ht="18" customHeight="1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97"/>
      <c r="N143" s="104"/>
      <c r="O143" s="104"/>
      <c r="P143" s="107"/>
      <c r="Q143" s="107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</row>
    <row r="144" spans="1:33" ht="18" customHeight="1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97"/>
      <c r="N144" s="104"/>
      <c r="O144" s="104"/>
      <c r="P144" s="107"/>
      <c r="Q144" s="107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</row>
    <row r="145" spans="1:33" ht="18" customHeight="1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97"/>
      <c r="N145" s="104"/>
      <c r="O145" s="104"/>
      <c r="P145" s="107"/>
      <c r="Q145" s="107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</row>
    <row r="146" spans="1:33" ht="18" customHeight="1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97"/>
      <c r="N146" s="104"/>
      <c r="O146" s="104"/>
      <c r="P146" s="107"/>
      <c r="Q146" s="107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</row>
    <row r="147" spans="1:33" ht="18" customHeight="1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97"/>
      <c r="N147" s="104"/>
      <c r="O147" s="104"/>
      <c r="P147" s="107"/>
      <c r="Q147" s="107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</row>
    <row r="148" spans="1:33" ht="18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97"/>
      <c r="N148" s="104"/>
      <c r="O148" s="104"/>
      <c r="P148" s="107"/>
      <c r="Q148" s="107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</row>
    <row r="149" spans="1:33" ht="18" customHeight="1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97"/>
      <c r="N149" s="104"/>
      <c r="O149" s="104"/>
      <c r="P149" s="107"/>
      <c r="Q149" s="107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</row>
    <row r="150" spans="1:33" ht="18" customHeight="1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97"/>
      <c r="N150" s="104"/>
      <c r="O150" s="104"/>
      <c r="P150" s="107"/>
      <c r="Q150" s="107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</row>
    <row r="151" spans="1:33" ht="18" customHeight="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97"/>
      <c r="N151" s="104"/>
      <c r="O151" s="104"/>
      <c r="P151" s="107"/>
      <c r="Q151" s="107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</row>
    <row r="152" spans="1:33" ht="18" customHeight="1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97"/>
      <c r="N152" s="104"/>
      <c r="O152" s="104"/>
      <c r="P152" s="107"/>
      <c r="Q152" s="107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</row>
    <row r="153" spans="1:33" ht="18" customHeight="1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97"/>
      <c r="N153" s="104"/>
      <c r="O153" s="104"/>
      <c r="P153" s="107"/>
      <c r="Q153" s="107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</row>
    <row r="154" spans="1:33" ht="18" customHeight="1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97"/>
      <c r="N154" s="104"/>
      <c r="O154" s="104"/>
      <c r="P154" s="107"/>
      <c r="Q154" s="107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</row>
    <row r="155" spans="1:33" ht="18" customHeight="1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97"/>
      <c r="N155" s="104"/>
      <c r="O155" s="104"/>
      <c r="P155" s="107"/>
      <c r="Q155" s="107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</row>
    <row r="156" spans="1:33" ht="18" customHeight="1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97"/>
      <c r="N156" s="104"/>
      <c r="O156" s="104"/>
      <c r="P156" s="107"/>
      <c r="Q156" s="107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</row>
    <row r="157" spans="1:33" ht="18" customHeight="1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97"/>
      <c r="N157" s="104"/>
      <c r="O157" s="104"/>
      <c r="P157" s="107"/>
      <c r="Q157" s="107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</row>
    <row r="158" spans="1:33" ht="18" customHeight="1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97"/>
      <c r="N158" s="104"/>
      <c r="O158" s="104"/>
      <c r="P158" s="107"/>
      <c r="Q158" s="107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</row>
    <row r="159" spans="1:33" ht="18" customHeight="1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97"/>
      <c r="N159" s="104"/>
      <c r="O159" s="104"/>
      <c r="P159" s="107"/>
      <c r="Q159" s="107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</row>
    <row r="160" spans="1:33" ht="18" customHeight="1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97"/>
      <c r="N160" s="104"/>
      <c r="O160" s="104"/>
      <c r="P160" s="107"/>
      <c r="Q160" s="107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</row>
    <row r="161" spans="1:33" ht="18" customHeight="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97"/>
      <c r="N161" s="104"/>
      <c r="O161" s="104"/>
      <c r="P161" s="107"/>
      <c r="Q161" s="107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</row>
    <row r="162" spans="1:33" ht="18" customHeight="1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97"/>
      <c r="N162" s="104"/>
      <c r="O162" s="104"/>
      <c r="P162" s="107"/>
      <c r="Q162" s="107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</row>
    <row r="163" spans="1:33" ht="18" customHeight="1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97"/>
      <c r="N163" s="104"/>
      <c r="O163" s="104"/>
      <c r="P163" s="107"/>
      <c r="Q163" s="107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</row>
    <row r="164" spans="1:33" ht="18" customHeight="1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97"/>
      <c r="N164" s="104"/>
      <c r="O164" s="104"/>
      <c r="P164" s="107"/>
      <c r="Q164" s="107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</row>
    <row r="165" spans="1:33" ht="18" customHeight="1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97"/>
      <c r="N165" s="104"/>
      <c r="O165" s="104"/>
      <c r="P165" s="107"/>
      <c r="Q165" s="107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</row>
    <row r="166" spans="1:33" ht="18" customHeight="1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97"/>
      <c r="N166" s="104"/>
      <c r="O166" s="104"/>
      <c r="P166" s="107"/>
      <c r="Q166" s="107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</row>
    <row r="167" spans="1:33" ht="18" customHeight="1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97"/>
      <c r="N167" s="104"/>
      <c r="O167" s="104"/>
      <c r="P167" s="107"/>
      <c r="Q167" s="107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</row>
    <row r="168" spans="1:33" ht="18" customHeight="1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97"/>
      <c r="N168" s="104"/>
      <c r="O168" s="104"/>
      <c r="P168" s="107"/>
      <c r="Q168" s="107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</row>
    <row r="169" spans="1:33" ht="18" customHeight="1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97"/>
      <c r="N169" s="104"/>
      <c r="O169" s="104"/>
      <c r="P169" s="107"/>
      <c r="Q169" s="107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</row>
    <row r="170" spans="1:33" ht="18" customHeight="1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97"/>
      <c r="N170" s="104"/>
      <c r="O170" s="104"/>
      <c r="P170" s="107"/>
      <c r="Q170" s="107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</row>
    <row r="171" spans="1:33" ht="18" customHeight="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97"/>
      <c r="N171" s="104"/>
      <c r="O171" s="104"/>
      <c r="P171" s="107"/>
      <c r="Q171" s="107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</row>
    <row r="172" spans="1:33" ht="18" customHeight="1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97"/>
      <c r="N172" s="104"/>
      <c r="O172" s="104"/>
      <c r="P172" s="107"/>
      <c r="Q172" s="107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</row>
    <row r="173" spans="1:33" ht="18" customHeight="1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97"/>
      <c r="N173" s="104"/>
      <c r="O173" s="104"/>
      <c r="P173" s="107"/>
      <c r="Q173" s="107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</row>
    <row r="174" spans="1:33" ht="18" customHeight="1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97"/>
      <c r="N174" s="104"/>
      <c r="O174" s="104"/>
      <c r="P174" s="107"/>
      <c r="Q174" s="107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</row>
    <row r="175" spans="1:33" ht="18" customHeight="1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97"/>
      <c r="N175" s="104"/>
      <c r="O175" s="104"/>
      <c r="P175" s="107"/>
      <c r="Q175" s="107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</row>
    <row r="176" spans="1:33" ht="18" customHeight="1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97"/>
      <c r="N176" s="104"/>
      <c r="O176" s="104"/>
      <c r="P176" s="107"/>
      <c r="Q176" s="107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</row>
    <row r="177" spans="1:33" ht="18" customHeight="1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97"/>
      <c r="N177" s="104"/>
      <c r="O177" s="104"/>
      <c r="P177" s="107"/>
      <c r="Q177" s="107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</row>
    <row r="178" spans="1:33" ht="18" customHeight="1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97"/>
      <c r="N178" s="104"/>
      <c r="O178" s="104"/>
      <c r="P178" s="107"/>
      <c r="Q178" s="107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</row>
    <row r="179" spans="1:33" ht="18" customHeight="1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97"/>
      <c r="N179" s="104"/>
      <c r="O179" s="104"/>
      <c r="P179" s="107"/>
      <c r="Q179" s="107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</row>
    <row r="180" spans="1:33" ht="18" customHeight="1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97"/>
      <c r="N180" s="104"/>
      <c r="O180" s="104"/>
      <c r="P180" s="107"/>
      <c r="Q180" s="107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</row>
    <row r="181" spans="1:33" ht="18" customHeight="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97"/>
      <c r="N181" s="104"/>
      <c r="O181" s="104"/>
      <c r="P181" s="107"/>
      <c r="Q181" s="107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</row>
    <row r="182" spans="1:33" ht="18" customHeight="1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97"/>
      <c r="N182" s="104"/>
      <c r="O182" s="104"/>
      <c r="P182" s="107"/>
      <c r="Q182" s="107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</row>
    <row r="183" spans="1:33" ht="18" customHeight="1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97"/>
      <c r="N183" s="104"/>
      <c r="O183" s="104"/>
      <c r="P183" s="107"/>
      <c r="Q183" s="107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</row>
    <row r="184" spans="1:33" ht="18" customHeight="1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97"/>
      <c r="N184" s="104"/>
      <c r="O184" s="104"/>
      <c r="P184" s="107"/>
      <c r="Q184" s="107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</row>
    <row r="185" spans="1:33" ht="18" customHeight="1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97"/>
      <c r="N185" s="104"/>
      <c r="O185" s="104"/>
      <c r="P185" s="107"/>
      <c r="Q185" s="107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</row>
    <row r="186" spans="1:33" ht="18" customHeight="1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97"/>
      <c r="N186" s="104"/>
      <c r="O186" s="104"/>
      <c r="P186" s="107"/>
      <c r="Q186" s="107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</row>
    <row r="187" spans="1:33" ht="18" customHeight="1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97"/>
      <c r="N187" s="104"/>
      <c r="O187" s="104"/>
      <c r="P187" s="107"/>
      <c r="Q187" s="107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</row>
    <row r="188" spans="1:33" ht="18" customHeight="1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97"/>
      <c r="N188" s="104"/>
      <c r="O188" s="104"/>
      <c r="P188" s="107"/>
      <c r="Q188" s="107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</row>
    <row r="189" spans="1:33" ht="18" customHeight="1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97"/>
      <c r="N189" s="104"/>
      <c r="O189" s="104"/>
      <c r="P189" s="107"/>
      <c r="Q189" s="107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</row>
    <row r="190" spans="1:33" ht="18" customHeight="1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97"/>
      <c r="N190" s="104"/>
      <c r="O190" s="104"/>
      <c r="P190" s="107"/>
      <c r="Q190" s="107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</row>
    <row r="191" spans="1:33" ht="18" customHeight="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97"/>
      <c r="N191" s="104"/>
      <c r="O191" s="104"/>
      <c r="P191" s="107"/>
      <c r="Q191" s="107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</row>
    <row r="192" spans="1:33" ht="18" customHeight="1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97"/>
      <c r="N192" s="104"/>
      <c r="O192" s="104"/>
      <c r="P192" s="107"/>
      <c r="Q192" s="107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</row>
    <row r="193" spans="1:33" ht="18" customHeight="1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97"/>
      <c r="N193" s="104"/>
      <c r="O193" s="104"/>
      <c r="P193" s="107"/>
      <c r="Q193" s="107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</row>
    <row r="194" spans="1:33" ht="18" customHeight="1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97"/>
      <c r="N194" s="104"/>
      <c r="O194" s="104"/>
      <c r="P194" s="107"/>
      <c r="Q194" s="107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</row>
    <row r="195" spans="1:33" ht="18" customHeight="1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97"/>
      <c r="N195" s="104"/>
      <c r="O195" s="104"/>
      <c r="P195" s="107"/>
      <c r="Q195" s="107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</row>
    <row r="196" spans="1:33" ht="18" customHeight="1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97"/>
      <c r="N196" s="104"/>
      <c r="O196" s="104"/>
      <c r="P196" s="107"/>
      <c r="Q196" s="107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</row>
    <row r="197" spans="1:33" ht="18" customHeight="1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97"/>
      <c r="N197" s="104"/>
      <c r="O197" s="104"/>
      <c r="P197" s="107"/>
      <c r="Q197" s="107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</row>
    <row r="198" spans="1:33" ht="18" customHeight="1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97"/>
      <c r="N198" s="104"/>
      <c r="O198" s="104"/>
      <c r="P198" s="107"/>
      <c r="Q198" s="107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</row>
    <row r="199" spans="1:33" ht="18" customHeight="1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97"/>
      <c r="N199" s="104"/>
      <c r="O199" s="104"/>
      <c r="P199" s="107"/>
      <c r="Q199" s="107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</row>
    <row r="200" spans="1:33" ht="18" customHeight="1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97"/>
      <c r="N200" s="104"/>
      <c r="O200" s="104"/>
      <c r="P200" s="107"/>
      <c r="Q200" s="107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</row>
    <row r="201" spans="1:33" ht="18" customHeight="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97"/>
      <c r="N201" s="104"/>
      <c r="O201" s="104"/>
      <c r="P201" s="107"/>
      <c r="Q201" s="107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</row>
    <row r="202" spans="1:33" ht="18" customHeight="1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97"/>
      <c r="N202" s="104"/>
      <c r="O202" s="104"/>
      <c r="P202" s="107"/>
      <c r="Q202" s="107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</row>
    <row r="203" spans="1:33" ht="18" customHeight="1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97"/>
      <c r="N203" s="104"/>
      <c r="O203" s="104"/>
      <c r="P203" s="107"/>
      <c r="Q203" s="107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</row>
    <row r="204" spans="1:33" ht="18" customHeight="1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97"/>
      <c r="N204" s="104"/>
      <c r="O204" s="104"/>
      <c r="P204" s="107"/>
      <c r="Q204" s="107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</row>
    <row r="205" spans="1:33" ht="18" customHeight="1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97"/>
      <c r="N205" s="104"/>
      <c r="O205" s="104"/>
      <c r="P205" s="107"/>
      <c r="Q205" s="107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</row>
    <row r="206" spans="1:33" ht="18" customHeight="1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97"/>
      <c r="N206" s="104"/>
      <c r="O206" s="104"/>
      <c r="P206" s="107"/>
      <c r="Q206" s="107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</row>
    <row r="207" spans="1:33" ht="18" customHeight="1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97"/>
      <c r="N207" s="104"/>
      <c r="O207" s="104"/>
      <c r="P207" s="107"/>
      <c r="Q207" s="107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</row>
    <row r="208" spans="1:33" ht="18" customHeight="1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97"/>
      <c r="N208" s="104"/>
      <c r="O208" s="104"/>
      <c r="P208" s="107"/>
      <c r="Q208" s="107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</row>
    <row r="209" spans="1:33" ht="18" customHeight="1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97"/>
      <c r="N209" s="104"/>
      <c r="O209" s="104"/>
      <c r="P209" s="107"/>
      <c r="Q209" s="107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</row>
    <row r="210" spans="1:33" ht="18" customHeight="1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97"/>
      <c r="N210" s="104"/>
      <c r="O210" s="104"/>
      <c r="P210" s="107"/>
      <c r="Q210" s="107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</row>
    <row r="211" spans="1:33" ht="18" customHeight="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97"/>
      <c r="N211" s="104"/>
      <c r="O211" s="104"/>
      <c r="P211" s="107"/>
      <c r="Q211" s="107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</row>
    <row r="212" spans="1:33" ht="18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97"/>
      <c r="N212" s="104"/>
      <c r="O212" s="104"/>
      <c r="P212" s="107"/>
      <c r="Q212" s="107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</row>
    <row r="213" spans="1:33" ht="18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97"/>
      <c r="N213" s="104"/>
      <c r="O213" s="104"/>
      <c r="P213" s="107"/>
      <c r="Q213" s="107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</row>
    <row r="214" spans="1:33" ht="18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97"/>
      <c r="N214" s="104"/>
      <c r="O214" s="104"/>
      <c r="P214" s="107"/>
      <c r="Q214" s="107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</row>
    <row r="215" spans="1:33" ht="18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97"/>
      <c r="N215" s="104"/>
      <c r="O215" s="104"/>
      <c r="P215" s="107"/>
      <c r="Q215" s="107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</row>
    <row r="216" spans="1:33" ht="18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97"/>
      <c r="N216" s="104"/>
      <c r="O216" s="104"/>
      <c r="P216" s="107"/>
      <c r="Q216" s="107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</row>
    <row r="217" spans="1:33" ht="18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97"/>
      <c r="N217" s="104"/>
      <c r="O217" s="104"/>
      <c r="P217" s="107"/>
      <c r="Q217" s="107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</row>
    <row r="218" spans="1:33" ht="18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97"/>
      <c r="N218" s="104"/>
      <c r="O218" s="104"/>
      <c r="P218" s="107"/>
      <c r="Q218" s="107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</row>
    <row r="219" spans="1:33" ht="18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97"/>
      <c r="N219" s="104"/>
      <c r="O219" s="104"/>
      <c r="P219" s="107"/>
      <c r="Q219" s="107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</row>
    <row r="220" spans="1:33" ht="18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97"/>
      <c r="N220" s="104"/>
      <c r="O220" s="104"/>
      <c r="P220" s="107"/>
      <c r="Q220" s="107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</row>
    <row r="221" spans="1:33" ht="18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97"/>
      <c r="N221" s="104"/>
      <c r="O221" s="104"/>
      <c r="P221" s="107"/>
      <c r="Q221" s="107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</row>
    <row r="222" spans="1:33" ht="18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97"/>
      <c r="N222" s="104"/>
      <c r="O222" s="104"/>
      <c r="P222" s="107"/>
      <c r="Q222" s="107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</row>
    <row r="223" spans="1:33" ht="18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97"/>
      <c r="N223" s="104"/>
      <c r="O223" s="104"/>
      <c r="P223" s="107"/>
      <c r="Q223" s="107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</row>
    <row r="224" spans="1:33" ht="18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97"/>
      <c r="N224" s="104"/>
      <c r="O224" s="104"/>
      <c r="P224" s="107"/>
      <c r="Q224" s="107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</row>
    <row r="225" spans="1:33" ht="18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97"/>
      <c r="N225" s="104"/>
      <c r="O225" s="104"/>
      <c r="P225" s="107"/>
      <c r="Q225" s="107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</row>
    <row r="226" spans="1:33" ht="18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97"/>
      <c r="N226" s="104"/>
      <c r="O226" s="104"/>
      <c r="P226" s="107"/>
      <c r="Q226" s="107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</row>
    <row r="227" spans="1:33" ht="15.75" customHeight="1"/>
    <row r="228" spans="1:33" ht="15.75" customHeight="1"/>
    <row r="229" spans="1:33" ht="15.75" customHeight="1"/>
    <row r="230" spans="1:33" ht="15.75" customHeight="1"/>
    <row r="231" spans="1:33" ht="15.75" customHeight="1"/>
    <row r="232" spans="1:33" ht="15.75" customHeight="1"/>
    <row r="233" spans="1:33" ht="15.75" customHeight="1"/>
    <row r="234" spans="1:33" ht="15.75" customHeight="1"/>
    <row r="235" spans="1:33" ht="15.75" customHeight="1"/>
    <row r="236" spans="1:33" ht="15.75" customHeight="1"/>
    <row r="237" spans="1:33" ht="15.75" customHeight="1"/>
    <row r="238" spans="1:33" ht="15.75" customHeight="1"/>
    <row r="239" spans="1:33" ht="15.75" customHeight="1"/>
    <row r="240" spans="1:3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K29:L29"/>
    <mergeCell ref="K30:L30"/>
    <mergeCell ref="K33:M33"/>
    <mergeCell ref="K34:O39"/>
    <mergeCell ref="D36:E36"/>
    <mergeCell ref="C28:H28"/>
    <mergeCell ref="K28:L28"/>
    <mergeCell ref="P19:V19"/>
    <mergeCell ref="I20:J20"/>
    <mergeCell ref="C26:J26"/>
    <mergeCell ref="C27:J27"/>
    <mergeCell ref="K27:L27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7"/>
  <sheetViews>
    <sheetView tabSelected="1" topLeftCell="A82" zoomScaleNormal="100" workbookViewId="0">
      <selection activeCell="K74" sqref="K74"/>
    </sheetView>
  </sheetViews>
  <sheetFormatPr defaultRowHeight="14.25"/>
  <cols>
    <col min="1" max="1" width="1.625" customWidth="1"/>
    <col min="2" max="2" width="0.875" customWidth="1"/>
    <col min="3" max="3" width="28" customWidth="1"/>
    <col min="4" max="5" width="14" customWidth="1"/>
    <col min="6" max="7" width="12" customWidth="1"/>
    <col min="8" max="8" width="15.875" customWidth="1"/>
    <col min="9" max="9" width="14" customWidth="1"/>
    <col min="10" max="10" width="18" customWidth="1"/>
    <col min="11" max="11" width="20.375" customWidth="1"/>
    <col min="12" max="12" width="9.375" customWidth="1"/>
    <col min="13" max="13" width="30" customWidth="1"/>
    <col min="14" max="14" width="12" customWidth="1"/>
    <col min="16" max="16" width="17.75" customWidth="1"/>
    <col min="17" max="17" width="18.125" customWidth="1"/>
    <col min="18" max="18" width="20.875" customWidth="1"/>
    <col min="19" max="20" width="13.5" style="224" customWidth="1"/>
    <col min="21" max="21" width="14.25" style="224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280" t="s">
        <v>0</v>
      </c>
      <c r="D2" s="263"/>
      <c r="E2" s="263"/>
      <c r="F2" s="263"/>
      <c r="G2" s="263"/>
      <c r="H2" s="263"/>
      <c r="I2" s="263"/>
    </row>
    <row r="3" spans="1:9" ht="27.95" customHeight="1">
      <c r="A3" s="1"/>
      <c r="B3" s="1"/>
      <c r="C3" s="262" t="s">
        <v>1</v>
      </c>
      <c r="D3" s="263"/>
      <c r="E3" s="263"/>
      <c r="F3" s="263"/>
      <c r="G3" s="263"/>
      <c r="H3" s="263"/>
      <c r="I3" s="263"/>
    </row>
    <row r="4" spans="1:9" ht="21.95" customHeight="1">
      <c r="A4" s="1"/>
      <c r="B4" s="1"/>
      <c r="C4" s="269" t="s">
        <v>2</v>
      </c>
      <c r="D4" s="263"/>
      <c r="E4" s="263"/>
      <c r="F4" s="263"/>
      <c r="G4" s="263"/>
      <c r="H4" s="263"/>
      <c r="I4" s="263"/>
    </row>
    <row r="5" spans="1:9" ht="6" customHeight="1">
      <c r="A5" s="1"/>
      <c r="B5" s="1"/>
      <c r="C5" s="1"/>
      <c r="D5" s="1"/>
      <c r="E5" s="1"/>
      <c r="F5" s="1"/>
      <c r="G5" s="1"/>
      <c r="H5" s="1"/>
      <c r="I5" s="1"/>
    </row>
    <row r="6" spans="1:9" ht="26.1" customHeight="1">
      <c r="A6" s="1"/>
      <c r="B6" s="1"/>
      <c r="C6" s="274" t="s">
        <v>3</v>
      </c>
      <c r="D6" s="263"/>
      <c r="E6" s="263"/>
      <c r="F6" s="263"/>
      <c r="G6" s="263"/>
      <c r="H6" s="263"/>
      <c r="I6" s="263"/>
    </row>
    <row r="7" spans="1:9" ht="23.1" customHeight="1">
      <c r="A7" s="1"/>
      <c r="B7" s="1"/>
      <c r="C7" s="272" t="s">
        <v>4</v>
      </c>
      <c r="D7" s="263"/>
      <c r="E7" s="263"/>
      <c r="F7" s="263"/>
      <c r="G7" s="263"/>
      <c r="H7" s="263"/>
      <c r="I7" s="263"/>
    </row>
    <row r="8" spans="1:9" ht="39.950000000000003" customHeight="1">
      <c r="A8" s="1"/>
      <c r="B8" s="1"/>
      <c r="C8" s="267" t="s">
        <v>5</v>
      </c>
      <c r="D8" s="263"/>
      <c r="E8" s="263"/>
      <c r="F8" s="263"/>
      <c r="G8" s="263"/>
      <c r="H8" s="263"/>
      <c r="I8" s="263"/>
    </row>
    <row r="9" spans="1:9" ht="6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3.1" customHeight="1">
      <c r="A10" s="1"/>
      <c r="B10" s="1"/>
      <c r="C10" s="272" t="s">
        <v>6</v>
      </c>
      <c r="D10" s="263"/>
      <c r="E10" s="263"/>
      <c r="F10" s="263"/>
      <c r="G10" s="263"/>
      <c r="H10" s="263"/>
      <c r="I10" s="263"/>
    </row>
    <row r="11" spans="1:9" ht="59.25" customHeight="1">
      <c r="A11" s="1"/>
      <c r="B11" s="1"/>
      <c r="C11" s="265" t="s">
        <v>7</v>
      </c>
      <c r="D11" s="263"/>
      <c r="E11" s="263"/>
      <c r="F11" s="263"/>
      <c r="G11" s="263"/>
      <c r="H11" s="263"/>
      <c r="I11" s="263"/>
    </row>
    <row r="12" spans="1:9" ht="5.2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23.1" customHeight="1">
      <c r="A13" s="1"/>
      <c r="B13" s="1"/>
      <c r="C13" s="272" t="s">
        <v>8</v>
      </c>
      <c r="D13" s="263"/>
      <c r="E13" s="263"/>
      <c r="F13" s="263"/>
      <c r="G13" s="263"/>
      <c r="H13" s="263"/>
      <c r="I13" s="263"/>
    </row>
    <row r="14" spans="1:9" ht="24" customHeight="1">
      <c r="A14" s="1"/>
      <c r="B14" s="1"/>
      <c r="C14" s="267" t="s">
        <v>9</v>
      </c>
      <c r="D14" s="263"/>
      <c r="E14" s="263"/>
      <c r="F14" s="263"/>
      <c r="G14" s="263"/>
      <c r="H14" s="263"/>
      <c r="I14" s="263"/>
    </row>
    <row r="15" spans="1:9" ht="6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23.1" customHeight="1">
      <c r="A16" s="1"/>
      <c r="B16" s="1"/>
      <c r="C16" s="272" t="s">
        <v>10</v>
      </c>
      <c r="D16" s="263"/>
      <c r="E16" s="263"/>
      <c r="F16" s="263"/>
      <c r="G16" s="263"/>
      <c r="H16" s="263"/>
      <c r="I16" s="263"/>
    </row>
    <row r="17" spans="1:10" ht="34.5" customHeight="1">
      <c r="A17" s="1"/>
      <c r="B17" s="1"/>
      <c r="C17" s="265" t="s">
        <v>11</v>
      </c>
      <c r="D17" s="263"/>
      <c r="E17" s="263"/>
      <c r="F17" s="263"/>
      <c r="G17" s="263"/>
      <c r="H17" s="263"/>
      <c r="I17" s="263"/>
    </row>
    <row r="18" spans="1:10" ht="6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10" ht="23.1" customHeight="1">
      <c r="A19" s="1"/>
      <c r="B19" s="1"/>
      <c r="C19" s="272" t="s">
        <v>12</v>
      </c>
      <c r="D19" s="263"/>
      <c r="E19" s="263"/>
      <c r="F19" s="263"/>
      <c r="G19" s="263"/>
      <c r="H19" s="263"/>
      <c r="I19" s="263"/>
    </row>
    <row r="20" spans="1:10" ht="121.5" customHeight="1">
      <c r="A20" s="1"/>
      <c r="B20" s="1"/>
      <c r="C20" s="267" t="s">
        <v>13</v>
      </c>
      <c r="D20" s="263"/>
      <c r="E20" s="263"/>
      <c r="F20" s="263"/>
      <c r="G20" s="263"/>
      <c r="H20" s="263"/>
      <c r="I20" s="263"/>
    </row>
    <row r="21" spans="1:10" ht="6" customHeight="1">
      <c r="A21" s="1"/>
      <c r="B21" s="1"/>
      <c r="C21" s="1"/>
      <c r="D21" s="1"/>
      <c r="E21" s="1"/>
      <c r="F21" s="1"/>
      <c r="G21" s="1"/>
      <c r="H21" s="1"/>
      <c r="I21" s="1"/>
    </row>
    <row r="22" spans="1:10" ht="23.1" customHeight="1">
      <c r="A22" s="1"/>
      <c r="B22" s="1"/>
      <c r="C22" s="272" t="s">
        <v>14</v>
      </c>
      <c r="D22" s="263"/>
      <c r="E22" s="263"/>
      <c r="F22" s="263"/>
      <c r="G22" s="263"/>
      <c r="H22" s="263"/>
      <c r="I22" s="263"/>
    </row>
    <row r="23" spans="1:10" ht="23.25" customHeight="1">
      <c r="A23" s="1"/>
      <c r="B23" s="1"/>
      <c r="C23" s="265" t="s">
        <v>15</v>
      </c>
      <c r="D23" s="263"/>
      <c r="E23" s="263"/>
      <c r="F23" s="263"/>
      <c r="G23" s="263"/>
      <c r="H23" s="263"/>
      <c r="I23" s="263"/>
    </row>
    <row r="24" spans="1:10" ht="6" customHeight="1">
      <c r="A24" s="1"/>
      <c r="B24" s="1"/>
      <c r="C24" s="1"/>
      <c r="D24" s="1"/>
      <c r="E24" s="1"/>
      <c r="F24" s="1"/>
      <c r="G24" s="1"/>
      <c r="H24" s="1"/>
      <c r="I24" s="1"/>
    </row>
    <row r="25" spans="1:10" ht="23.1" customHeight="1">
      <c r="A25" s="1"/>
      <c r="B25" s="1"/>
      <c r="C25" s="272" t="s">
        <v>16</v>
      </c>
      <c r="D25" s="263"/>
      <c r="E25" s="263"/>
      <c r="F25" s="263"/>
      <c r="G25" s="263"/>
      <c r="H25" s="263"/>
      <c r="I25" s="263"/>
    </row>
    <row r="26" spans="1:10" ht="149.25" customHeight="1">
      <c r="A26" s="1"/>
      <c r="B26" s="1"/>
      <c r="C26" s="267" t="s">
        <v>17</v>
      </c>
      <c r="D26" s="263"/>
      <c r="E26" s="263"/>
      <c r="F26" s="263"/>
      <c r="G26" s="263"/>
      <c r="H26" s="263"/>
      <c r="I26" s="263"/>
      <c r="J26" s="16"/>
    </row>
    <row r="27" spans="1:10" ht="6" customHeight="1">
      <c r="A27" s="1"/>
      <c r="B27" s="1"/>
      <c r="C27" s="1"/>
      <c r="D27" s="1"/>
      <c r="E27" s="1"/>
      <c r="F27" s="1"/>
      <c r="G27" s="1"/>
      <c r="H27" s="1"/>
      <c r="I27" s="1"/>
    </row>
    <row r="28" spans="1:10" ht="24.95" customHeight="1">
      <c r="A28" s="2"/>
      <c r="B28" s="2"/>
      <c r="C28" s="273" t="s">
        <v>18</v>
      </c>
      <c r="D28" s="263"/>
      <c r="E28" s="263"/>
      <c r="F28" s="263"/>
      <c r="G28" s="263"/>
      <c r="H28" s="263"/>
      <c r="I28" s="263"/>
    </row>
    <row r="29" spans="1:10" ht="6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10" ht="35.25" customHeight="1">
      <c r="A30" s="2"/>
      <c r="B30" s="2"/>
      <c r="C30" s="265" t="s">
        <v>19</v>
      </c>
      <c r="D30" s="263"/>
      <c r="E30" s="263"/>
      <c r="F30" s="263"/>
      <c r="G30" s="263"/>
      <c r="H30" s="263"/>
      <c r="I30" s="263"/>
    </row>
    <row r="31" spans="1:10" ht="27.95" customHeight="1">
      <c r="A31" s="2"/>
      <c r="B31" s="2"/>
      <c r="C31" s="271" t="s">
        <v>20</v>
      </c>
      <c r="D31" s="263"/>
      <c r="E31" s="263"/>
      <c r="F31" s="263"/>
      <c r="G31" s="263"/>
      <c r="H31" s="263"/>
      <c r="I31" s="263"/>
    </row>
    <row r="32" spans="1:10" ht="51.75" customHeight="1">
      <c r="A32" s="2"/>
      <c r="B32" s="2"/>
      <c r="C32" s="271" t="s">
        <v>21</v>
      </c>
      <c r="D32" s="263"/>
      <c r="E32" s="263"/>
      <c r="F32" s="263"/>
      <c r="G32" s="263"/>
      <c r="H32" s="263"/>
      <c r="I32" s="263"/>
    </row>
    <row r="33" spans="1:10" ht="54.95" customHeight="1">
      <c r="A33" s="2"/>
      <c r="B33" s="2"/>
      <c r="C33" s="270" t="s">
        <v>22</v>
      </c>
      <c r="D33" s="263"/>
      <c r="E33" s="263"/>
      <c r="F33" s="263"/>
      <c r="G33" s="263"/>
      <c r="H33" s="263"/>
      <c r="I33" s="263"/>
    </row>
    <row r="34" spans="1:10" ht="54.95" customHeight="1">
      <c r="A34" s="2"/>
      <c r="B34" s="2"/>
      <c r="C34" s="271" t="s">
        <v>23</v>
      </c>
      <c r="D34" s="263"/>
      <c r="E34" s="263"/>
      <c r="F34" s="263"/>
      <c r="G34" s="263"/>
      <c r="H34" s="263"/>
      <c r="I34" s="263"/>
    </row>
    <row r="35" spans="1:10" ht="6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10" ht="24.95" customHeight="1">
      <c r="A36" s="2"/>
      <c r="B36" s="2"/>
      <c r="C36" s="273" t="s">
        <v>24</v>
      </c>
      <c r="D36" s="263"/>
      <c r="E36" s="263"/>
      <c r="F36" s="263"/>
      <c r="G36" s="263"/>
      <c r="H36" s="263"/>
      <c r="I36" s="263"/>
    </row>
    <row r="37" spans="1:10" ht="4.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10" ht="27.95" customHeight="1">
      <c r="A38" s="2"/>
      <c r="B38" s="2"/>
      <c r="C38" s="267" t="s">
        <v>25</v>
      </c>
      <c r="D38" s="263"/>
      <c r="E38" s="263"/>
      <c r="F38" s="263"/>
      <c r="G38" s="263"/>
      <c r="H38" s="263"/>
      <c r="I38" s="263"/>
    </row>
    <row r="39" spans="1:10" ht="112.5" customHeight="1">
      <c r="A39" s="2"/>
      <c r="B39" s="2"/>
      <c r="C39" s="283" t="s">
        <v>26</v>
      </c>
      <c r="D39" s="263"/>
      <c r="E39" s="263"/>
      <c r="F39" s="263"/>
      <c r="G39" s="263"/>
      <c r="H39" s="263"/>
      <c r="I39" s="263"/>
    </row>
    <row r="40" spans="1:10" ht="39.950000000000003" customHeight="1">
      <c r="A40" s="2"/>
      <c r="B40" s="2"/>
      <c r="C40" s="267" t="s">
        <v>27</v>
      </c>
      <c r="D40" s="263"/>
      <c r="E40" s="263"/>
      <c r="F40" s="263"/>
      <c r="G40" s="263"/>
      <c r="H40" s="263"/>
      <c r="I40" s="263"/>
    </row>
    <row r="41" spans="1:10" ht="6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10" ht="24.95" customHeight="1">
      <c r="A42" s="2"/>
      <c r="B42" s="2"/>
      <c r="C42" s="273" t="s">
        <v>28</v>
      </c>
      <c r="D42" s="263"/>
      <c r="E42" s="263"/>
      <c r="F42" s="263"/>
      <c r="G42" s="263"/>
      <c r="H42" s="263"/>
      <c r="I42" s="263"/>
    </row>
    <row r="43" spans="1:10" ht="6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10" ht="24" customHeight="1">
      <c r="A44" s="2"/>
      <c r="B44" s="2"/>
      <c r="C44" s="277" t="s">
        <v>29</v>
      </c>
      <c r="D44" s="263"/>
      <c r="E44" s="263"/>
      <c r="F44" s="263"/>
      <c r="G44" s="263"/>
      <c r="H44" s="263"/>
      <c r="I44" s="263"/>
    </row>
    <row r="45" spans="1:10" ht="37.5" customHeight="1">
      <c r="A45" s="2"/>
      <c r="B45" s="2"/>
      <c r="C45" s="267" t="s">
        <v>30</v>
      </c>
      <c r="D45" s="263"/>
      <c r="E45" s="263"/>
      <c r="F45" s="263"/>
      <c r="G45" s="263"/>
      <c r="H45" s="263"/>
      <c r="I45" s="263"/>
      <c r="J45" s="16"/>
    </row>
    <row r="46" spans="1:10" ht="6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10" ht="32.25" customHeight="1">
      <c r="A47" s="2"/>
      <c r="B47" s="2"/>
      <c r="C47" s="270" t="s">
        <v>31</v>
      </c>
      <c r="D47" s="263"/>
      <c r="E47" s="263"/>
      <c r="F47" s="263"/>
      <c r="G47" s="263"/>
      <c r="H47" s="263"/>
      <c r="I47" s="263"/>
      <c r="J47" s="16"/>
    </row>
    <row r="48" spans="1:10" ht="5.25" customHeight="1">
      <c r="A48" s="2"/>
      <c r="B48" s="2"/>
      <c r="C48" s="2"/>
      <c r="D48" s="2"/>
      <c r="E48" s="2"/>
      <c r="F48" s="2"/>
      <c r="G48" s="2"/>
      <c r="H48" s="2"/>
      <c r="I48" s="2"/>
    </row>
    <row r="49" spans="1:21" ht="26.25" customHeight="1">
      <c r="A49" s="2"/>
      <c r="B49" s="2"/>
      <c r="C49" s="271" t="s">
        <v>32</v>
      </c>
      <c r="D49" s="263"/>
      <c r="E49" s="263"/>
      <c r="F49" s="263"/>
      <c r="G49" s="263"/>
      <c r="H49" s="263"/>
      <c r="I49" s="263"/>
      <c r="J49" s="16"/>
    </row>
    <row r="50" spans="1:21" ht="6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21" ht="6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21" ht="24.95" customHeight="1">
      <c r="A52" s="2"/>
      <c r="B52" s="2"/>
      <c r="C52" s="273" t="s">
        <v>33</v>
      </c>
      <c r="D52" s="263"/>
      <c r="E52" s="263"/>
      <c r="F52" s="263"/>
      <c r="G52" s="263"/>
      <c r="H52" s="263"/>
      <c r="I52" s="263"/>
    </row>
    <row r="53" spans="1:21" ht="6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21" ht="24.95" customHeight="1">
      <c r="A54" s="2"/>
      <c r="B54" s="2"/>
      <c r="C54" s="274" t="s">
        <v>34</v>
      </c>
      <c r="D54" s="263"/>
      <c r="E54" s="263"/>
      <c r="F54" s="263"/>
      <c r="G54" s="263"/>
      <c r="H54" s="263"/>
      <c r="I54" s="263"/>
      <c r="K54" s="260" t="s">
        <v>458</v>
      </c>
      <c r="L54" s="260"/>
      <c r="M54" s="260"/>
      <c r="N54" s="260"/>
      <c r="P54" s="289" t="s">
        <v>411</v>
      </c>
      <c r="Q54" s="290"/>
      <c r="R54" s="290"/>
      <c r="S54" s="290"/>
      <c r="T54" s="290"/>
      <c r="U54" s="290"/>
    </row>
    <row r="55" spans="1:21" ht="18" customHeight="1">
      <c r="A55" s="2"/>
      <c r="B55" s="2"/>
      <c r="C55" s="35" t="s">
        <v>35</v>
      </c>
      <c r="D55" s="35" t="s">
        <v>36</v>
      </c>
      <c r="E55" s="35" t="s">
        <v>37</v>
      </c>
      <c r="F55" s="35" t="s">
        <v>38</v>
      </c>
      <c r="G55" s="35" t="s">
        <v>39</v>
      </c>
      <c r="H55" s="35" t="s">
        <v>40</v>
      </c>
      <c r="I55" s="35" t="s">
        <v>41</v>
      </c>
      <c r="K55" s="94" t="s">
        <v>319</v>
      </c>
      <c r="L55" s="94" t="s">
        <v>320</v>
      </c>
      <c r="M55" s="94" t="s">
        <v>321</v>
      </c>
      <c r="N55" s="94" t="s">
        <v>322</v>
      </c>
      <c r="P55" s="206" t="s">
        <v>319</v>
      </c>
      <c r="Q55" s="207" t="s">
        <v>320</v>
      </c>
      <c r="R55" s="207" t="s">
        <v>364</v>
      </c>
      <c r="S55" s="225" t="s">
        <v>365</v>
      </c>
      <c r="T55" s="225" t="s">
        <v>366</v>
      </c>
      <c r="U55" s="225" t="s">
        <v>149</v>
      </c>
    </row>
    <row r="56" spans="1:21" ht="18" customHeight="1">
      <c r="A56" s="2"/>
      <c r="B56" s="2"/>
      <c r="C56" s="49" t="s">
        <v>42</v>
      </c>
      <c r="D56" s="50" t="s">
        <v>43</v>
      </c>
      <c r="E56" s="51"/>
      <c r="F56" s="51"/>
      <c r="G56" s="52"/>
      <c r="H56" s="53">
        <f>INDEX(Проверка_CPC!$E:$E,MATCH("Английская роза.xlsx",Проверка_CPC!$A:$A,0))</f>
        <v>8.5399999999999991</v>
      </c>
      <c r="I56" s="54"/>
      <c r="K56" s="95" t="s">
        <v>323</v>
      </c>
      <c r="L56" s="96" t="s">
        <v>324</v>
      </c>
      <c r="M56" s="97" t="s">
        <v>351</v>
      </c>
      <c r="N56" s="98">
        <f>E76</f>
        <v>21196.973911750665</v>
      </c>
      <c r="P56" s="208" t="s">
        <v>412</v>
      </c>
      <c r="Q56" s="203" t="s">
        <v>363</v>
      </c>
      <c r="R56" s="205" t="s">
        <v>413</v>
      </c>
      <c r="S56" s="226">
        <f>300</f>
        <v>300</v>
      </c>
      <c r="T56" s="226">
        <f>300</f>
        <v>300</v>
      </c>
      <c r="U56" s="226">
        <f>S56+T56</f>
        <v>600</v>
      </c>
    </row>
    <row r="57" spans="1:21" ht="18" customHeight="1">
      <c r="A57" s="2"/>
      <c r="B57" s="2"/>
      <c r="C57" s="41" t="s">
        <v>44</v>
      </c>
      <c r="D57" s="42" t="s">
        <v>43</v>
      </c>
      <c r="E57" s="43"/>
      <c r="F57" s="43"/>
      <c r="G57" s="44"/>
      <c r="H57" s="45">
        <f>INDEX(Проверка_CPC!$E:$E,MATCH("Поиск Бренд.xlsx",Проверка_CPC!$A:$A,0))</f>
        <v>6.1</v>
      </c>
      <c r="I57" s="55"/>
      <c r="K57" s="95" t="s">
        <v>325</v>
      </c>
      <c r="L57" s="92" t="s">
        <v>326</v>
      </c>
      <c r="M57" s="93" t="s">
        <v>352</v>
      </c>
      <c r="N57" s="92" t="str">
        <f>TEXT(F76,"0")</f>
        <v>500</v>
      </c>
      <c r="P57" s="208" t="s">
        <v>453</v>
      </c>
      <c r="Q57" s="208"/>
      <c r="R57" s="208"/>
      <c r="S57" s="227">
        <v>7</v>
      </c>
      <c r="T57" s="227">
        <v>7</v>
      </c>
      <c r="U57" s="227"/>
    </row>
    <row r="58" spans="1:21" ht="18" customHeight="1">
      <c r="A58" s="2"/>
      <c r="B58" s="2"/>
      <c r="C58" s="49" t="s">
        <v>45</v>
      </c>
      <c r="D58" s="50" t="s">
        <v>43</v>
      </c>
      <c r="E58" s="51"/>
      <c r="F58" s="51"/>
      <c r="G58" s="52"/>
      <c r="H58" s="53">
        <f>INDEX(Проверка_CPC!$E:$E,MATCH("Исторические розы.xlsx",Проверка_CPC!$A:$A,0))</f>
        <v>8.5399999999999991</v>
      </c>
      <c r="I58" s="54"/>
      <c r="K58" s="95" t="s">
        <v>327</v>
      </c>
      <c r="L58" s="92" t="s">
        <v>328</v>
      </c>
      <c r="M58" s="93" t="s">
        <v>329</v>
      </c>
      <c r="N58" s="99">
        <f>F76/E76</f>
        <v>2.3588272650692941E-2</v>
      </c>
      <c r="P58" s="208" t="s">
        <v>362</v>
      </c>
      <c r="Q58" s="203" t="s">
        <v>361</v>
      </c>
      <c r="R58" s="205" t="s">
        <v>413</v>
      </c>
      <c r="S58" s="227">
        <f>278000</f>
        <v>278000</v>
      </c>
      <c r="T58" s="227">
        <f>278000</f>
        <v>278000</v>
      </c>
      <c r="U58" s="233" t="s">
        <v>367</v>
      </c>
    </row>
    <row r="59" spans="1:21" ht="18" customHeight="1">
      <c r="A59" s="2"/>
      <c r="B59" s="2"/>
      <c r="C59" s="41" t="s">
        <v>46</v>
      </c>
      <c r="D59" s="42" t="s">
        <v>43</v>
      </c>
      <c r="E59" s="43"/>
      <c r="F59" s="43"/>
      <c r="G59" s="44"/>
      <c r="H59" s="45">
        <f>INDEX(Проверка_CPC!$E:$E,MATCH("канадские.xlsx",Проверка_CPC!$A:$A,0))</f>
        <v>8.5399999999999991</v>
      </c>
      <c r="I59" s="56"/>
      <c r="K59" s="95" t="s">
        <v>330</v>
      </c>
      <c r="L59" s="92" t="s">
        <v>331</v>
      </c>
      <c r="M59" s="93" t="s">
        <v>332</v>
      </c>
      <c r="N59" s="102">
        <f>I76/F76</f>
        <v>7.32</v>
      </c>
      <c r="P59" s="209" t="s">
        <v>360</v>
      </c>
      <c r="Q59" s="210" t="s">
        <v>359</v>
      </c>
      <c r="R59" s="211" t="s">
        <v>358</v>
      </c>
      <c r="S59" s="228">
        <f>(11000+16000)/2*7</f>
        <v>94500</v>
      </c>
      <c r="T59" s="228">
        <f>(11000+16000)/2*7</f>
        <v>94500</v>
      </c>
      <c r="U59" s="228">
        <f>S59+T59</f>
        <v>189000</v>
      </c>
    </row>
    <row r="60" spans="1:21" ht="18" customHeight="1">
      <c r="A60" s="2"/>
      <c r="B60" s="2"/>
      <c r="C60" s="58" t="s">
        <v>47</v>
      </c>
      <c r="D60" s="59" t="s">
        <v>43</v>
      </c>
      <c r="E60" s="60"/>
      <c r="F60" s="60"/>
      <c r="G60" s="61"/>
      <c r="H60" s="62">
        <f>INDEX(Проверка_CPC!$E:$E,MATCH("Миниатюрные розы.xlsx",Проверка_CPC!$A:$A,0))</f>
        <v>7.32</v>
      </c>
      <c r="I60" s="63"/>
      <c r="K60" s="95" t="s">
        <v>333</v>
      </c>
      <c r="L60" s="92" t="s">
        <v>334</v>
      </c>
      <c r="M60" s="93" t="s">
        <v>350</v>
      </c>
      <c r="N60" s="100">
        <f>25/500</f>
        <v>0.05</v>
      </c>
      <c r="P60" s="208" t="s">
        <v>37</v>
      </c>
      <c r="Q60" s="203" t="s">
        <v>324</v>
      </c>
      <c r="R60" s="204" t="s">
        <v>358</v>
      </c>
      <c r="S60" s="227">
        <f>(14000+19000)/2*7</f>
        <v>115500</v>
      </c>
      <c r="T60" s="227">
        <f>(14000+19000)/2*7</f>
        <v>115500</v>
      </c>
      <c r="U60" s="227">
        <f>S60+T60</f>
        <v>231000</v>
      </c>
    </row>
    <row r="61" spans="1:21" ht="18" customHeight="1">
      <c r="A61" s="2"/>
      <c r="B61" s="2"/>
      <c r="C61" s="69" t="s">
        <v>48</v>
      </c>
      <c r="D61" s="70" t="s">
        <v>43</v>
      </c>
      <c r="E61" s="71"/>
      <c r="F61" s="71"/>
      <c r="G61" s="72"/>
      <c r="H61" s="73">
        <f>INDEX(Проверка_CPC!$E:$E,MATCH("Мускусная роза.xlsx",Проверка_CPC!$A:$A,0))</f>
        <v>7.32</v>
      </c>
      <c r="I61" s="74"/>
      <c r="K61" s="95" t="s">
        <v>335</v>
      </c>
      <c r="L61" s="92" t="s">
        <v>336</v>
      </c>
      <c r="M61" s="93" t="s">
        <v>337</v>
      </c>
      <c r="N61" s="92">
        <f>N57*N60</f>
        <v>25</v>
      </c>
      <c r="P61" s="208" t="s">
        <v>38</v>
      </c>
      <c r="Q61" s="203" t="s">
        <v>326</v>
      </c>
      <c r="R61" s="204" t="s">
        <v>358</v>
      </c>
      <c r="S61" s="227">
        <f>(1000+1300)/2*7</f>
        <v>8050</v>
      </c>
      <c r="T61" s="227">
        <f>(1000+1300)/2*7</f>
        <v>8050</v>
      </c>
      <c r="U61" s="227">
        <f>S61+T61</f>
        <v>16100</v>
      </c>
    </row>
    <row r="62" spans="1:21" ht="18" customHeight="1">
      <c r="A62" s="2"/>
      <c r="B62" s="2"/>
      <c r="C62" s="49" t="s">
        <v>49</v>
      </c>
      <c r="D62" s="50" t="s">
        <v>43</v>
      </c>
      <c r="E62" s="51"/>
      <c r="F62" s="51"/>
      <c r="G62" s="52"/>
      <c r="H62" s="53">
        <f>INDEX(Проверка_CPC!$E:$E,MATCH("Парковые розы.xlsx",Проверка_CPC!$A:$A,0))</f>
        <v>9.76</v>
      </c>
      <c r="I62" s="54"/>
      <c r="K62" s="95" t="s">
        <v>338</v>
      </c>
      <c r="L62" s="92" t="s">
        <v>339</v>
      </c>
      <c r="M62" s="93" t="s">
        <v>340</v>
      </c>
      <c r="N62" s="92">
        <f>I76/N61</f>
        <v>146.4</v>
      </c>
      <c r="P62" s="199" t="s">
        <v>328</v>
      </c>
      <c r="Q62" s="203" t="s">
        <v>328</v>
      </c>
      <c r="R62" s="205" t="s">
        <v>357</v>
      </c>
      <c r="S62" s="229">
        <f>S61/S60</f>
        <v>6.9696969696969702E-2</v>
      </c>
      <c r="T62" s="229">
        <f>T61/T60</f>
        <v>6.9696969696969702E-2</v>
      </c>
      <c r="U62" s="229">
        <f>U61/U60</f>
        <v>6.9696969696969702E-2</v>
      </c>
    </row>
    <row r="63" spans="1:21" ht="18" customHeight="1">
      <c r="A63" s="2"/>
      <c r="B63" s="2"/>
      <c r="C63" s="64" t="s">
        <v>50</v>
      </c>
      <c r="D63" s="65" t="s">
        <v>43</v>
      </c>
      <c r="E63" s="66">
        <f>F63/G63</f>
        <v>2936.5739067582222</v>
      </c>
      <c r="F63" s="67">
        <v>100</v>
      </c>
      <c r="G63" s="68">
        <f>INDEX(Прогноз_Direct_85!$F:$F,MATCH("Плетистые.xls",Прогноз_Direct_85!$A:$A,0))</f>
        <v>3.4053289028367482E-2</v>
      </c>
      <c r="H63" s="66">
        <f>INDEX(Проверка_CPC!$E:$E,MATCH("Плетистая.xlsx",Проверка_CPC!$A:$A,0))</f>
        <v>4.88</v>
      </c>
      <c r="I63" s="88">
        <f>F63*H63</f>
        <v>488</v>
      </c>
      <c r="K63" s="95" t="s">
        <v>341</v>
      </c>
      <c r="L63" s="92" t="s">
        <v>342</v>
      </c>
      <c r="M63" s="93" t="s">
        <v>343</v>
      </c>
      <c r="N63" s="103">
        <f>I76/1.22</f>
        <v>3000</v>
      </c>
      <c r="P63" s="199" t="s">
        <v>355</v>
      </c>
      <c r="Q63" s="203" t="s">
        <v>354</v>
      </c>
      <c r="R63" s="205" t="s">
        <v>353</v>
      </c>
      <c r="S63" s="230">
        <f>S60/S59</f>
        <v>1.2222222222222223</v>
      </c>
      <c r="T63" s="230">
        <f>T60/T59</f>
        <v>1.2222222222222223</v>
      </c>
      <c r="U63" s="230">
        <f>U60/U59</f>
        <v>1.2222222222222223</v>
      </c>
    </row>
    <row r="64" spans="1:21" ht="18" customHeight="1">
      <c r="A64" s="2"/>
      <c r="B64" s="2"/>
      <c r="C64" s="36" t="s">
        <v>51</v>
      </c>
      <c r="D64" s="37" t="s">
        <v>43</v>
      </c>
      <c r="E64" s="38"/>
      <c r="F64" s="38"/>
      <c r="G64" s="39"/>
      <c r="H64" s="40">
        <f>INDEX(Проверка_CPC!$E:$E,MATCH("Почвопокровные.xlsx",Проверка_CPC!$A:$A,0))</f>
        <v>8.5399999999999991</v>
      </c>
      <c r="I64" s="57"/>
      <c r="K64" s="95" t="s">
        <v>344</v>
      </c>
      <c r="L64" s="92" t="s">
        <v>345</v>
      </c>
      <c r="M64" s="93" t="s">
        <v>346</v>
      </c>
      <c r="N64" s="103">
        <f>I76-(I76/1.22)</f>
        <v>660</v>
      </c>
      <c r="P64" s="199" t="s">
        <v>414</v>
      </c>
      <c r="Q64" s="203" t="s">
        <v>415</v>
      </c>
      <c r="R64" s="205" t="s">
        <v>369</v>
      </c>
      <c r="S64" s="227">
        <f>20</f>
        <v>20</v>
      </c>
      <c r="T64" s="227">
        <f>20</f>
        <v>20</v>
      </c>
      <c r="U64" s="227">
        <f>S64+T64</f>
        <v>40</v>
      </c>
    </row>
    <row r="65" spans="1:21" ht="18" customHeight="1">
      <c r="A65" s="2"/>
      <c r="B65" s="2"/>
      <c r="C65" s="75" t="s">
        <v>52</v>
      </c>
      <c r="D65" s="76" t="s">
        <v>43</v>
      </c>
      <c r="E65" s="77"/>
      <c r="F65" s="77"/>
      <c r="G65" s="78"/>
      <c r="H65" s="79">
        <f>INDEX(Проверка_CPC!$E:$E,MATCH("Розы Остина.xlsx",Проверка_CPC!$A:$A,0))</f>
        <v>8.5399999999999991</v>
      </c>
      <c r="I65" s="55"/>
      <c r="K65" s="95" t="s">
        <v>347</v>
      </c>
      <c r="L65" s="96" t="s">
        <v>348</v>
      </c>
      <c r="M65" s="97" t="s">
        <v>349</v>
      </c>
      <c r="N65" s="101">
        <f>I76</f>
        <v>3660</v>
      </c>
      <c r="P65" s="199" t="s">
        <v>416</v>
      </c>
      <c r="Q65" s="203" t="s">
        <v>368</v>
      </c>
      <c r="R65" s="205" t="s">
        <v>417</v>
      </c>
      <c r="S65" s="227">
        <f>S64*7</f>
        <v>140</v>
      </c>
      <c r="T65" s="227">
        <f>T61</f>
        <v>8050</v>
      </c>
      <c r="U65" s="227" t="s">
        <v>419</v>
      </c>
    </row>
    <row r="66" spans="1:21" ht="18" customHeight="1">
      <c r="A66" s="2"/>
      <c r="B66" s="2"/>
      <c r="C66" s="49" t="s">
        <v>53</v>
      </c>
      <c r="D66" s="50" t="s">
        <v>43</v>
      </c>
      <c r="E66" s="51"/>
      <c r="F66" s="51"/>
      <c r="G66" s="52"/>
      <c r="H66" s="53">
        <f>INDEX(Проверка_CPC!$E:$E,MATCH("Саженцы.xlsx",Проверка_CPC!$A:$A,0))</f>
        <v>10.98</v>
      </c>
      <c r="I66" s="54"/>
      <c r="P66" s="199" t="s">
        <v>333</v>
      </c>
      <c r="Q66" s="201" t="s">
        <v>334</v>
      </c>
      <c r="R66" s="205" t="s">
        <v>418</v>
      </c>
      <c r="S66" s="229">
        <f>S65/S61</f>
        <v>1.7391304347826087E-2</v>
      </c>
      <c r="T66" s="229">
        <f>T65/T61</f>
        <v>1</v>
      </c>
      <c r="U66" s="233" t="s">
        <v>419</v>
      </c>
    </row>
    <row r="67" spans="1:21" ht="24" customHeight="1">
      <c r="A67" s="2"/>
      <c r="B67" s="2"/>
      <c r="C67" s="64" t="s">
        <v>54</v>
      </c>
      <c r="D67" s="65" t="s">
        <v>43</v>
      </c>
      <c r="E67" s="66">
        <f>F67/G67</f>
        <v>5198.4622553588079</v>
      </c>
      <c r="F67" s="66">
        <v>100</v>
      </c>
      <c r="G67" s="68">
        <f>INDEX(Прогноз_Direct_85!$F:$F,MATCH("Флорибунда.xls",Прогноз_Direct_85!$A:$A,0))</f>
        <v>1.9236457838453191E-2</v>
      </c>
      <c r="H67" s="80">
        <f>INDEX(Проверка_CPC!$E:$E,MATCH("Флорибунда.xlsx",Проверка_CPC!$A:$A,0))</f>
        <v>7.32</v>
      </c>
      <c r="I67" s="89">
        <f>F67*H67</f>
        <v>732</v>
      </c>
      <c r="P67" s="199" t="s">
        <v>330</v>
      </c>
      <c r="Q67" s="203" t="s">
        <v>331</v>
      </c>
      <c r="R67" s="205" t="s">
        <v>356</v>
      </c>
      <c r="S67" s="226">
        <f>S70/S65</f>
        <v>15</v>
      </c>
      <c r="T67" s="226">
        <f>T70/T65</f>
        <v>0.2608695652173913</v>
      </c>
      <c r="U67" s="226">
        <f>U56/U61</f>
        <v>3.7267080745341616E-2</v>
      </c>
    </row>
    <row r="68" spans="1:21" ht="24" customHeight="1">
      <c r="A68" s="2"/>
      <c r="B68" s="2"/>
      <c r="C68" s="36" t="s">
        <v>55</v>
      </c>
      <c r="D68" s="37" t="s">
        <v>43</v>
      </c>
      <c r="E68" s="38">
        <f>F68/G68</f>
        <v>5631.8435754189941</v>
      </c>
      <c r="F68" s="38">
        <v>100</v>
      </c>
      <c r="G68" s="39">
        <f>INDEX(Прогноз_Direct_85!$F:$F,MATCH("Чайно-гибридные.xls",Прогноз_Direct_85!$A:$A,0))</f>
        <v>1.7756174982640611E-2</v>
      </c>
      <c r="H68" s="40">
        <f>INDEX(Проверка_CPC!$E:$E,MATCH("чайно гибридная.xlsx",Проверка_CPC!$A:$A,0))</f>
        <v>4.88</v>
      </c>
      <c r="I68" s="90">
        <f>F68*H68</f>
        <v>488</v>
      </c>
      <c r="P68" s="199" t="s">
        <v>420</v>
      </c>
      <c r="Q68" s="198" t="s">
        <v>421</v>
      </c>
      <c r="R68" s="200" t="s">
        <v>422</v>
      </c>
      <c r="S68" s="231">
        <f>S70/S65</f>
        <v>15</v>
      </c>
      <c r="T68" s="231">
        <f>T70/T65</f>
        <v>0.2608695652173913</v>
      </c>
      <c r="U68" s="231" t="s">
        <v>419</v>
      </c>
    </row>
    <row r="69" spans="1:21" ht="24" customHeight="1">
      <c r="A69" s="2"/>
      <c r="B69" s="2"/>
      <c r="C69" s="75" t="s">
        <v>56</v>
      </c>
      <c r="D69" s="76" t="s">
        <v>43</v>
      </c>
      <c r="E69" s="77"/>
      <c r="F69" s="77"/>
      <c r="G69" s="78"/>
      <c r="H69" s="79">
        <f>INDEX(Проверка_CPC!$E:$E,MATCH("Шрабы.xlsx",Проверка_CPC!$A:$A,0))</f>
        <v>7.32</v>
      </c>
      <c r="I69" s="55"/>
      <c r="P69" s="215" t="s">
        <v>344</v>
      </c>
      <c r="Q69" s="216" t="s">
        <v>345</v>
      </c>
      <c r="R69" s="216"/>
      <c r="S69" s="219">
        <v>378.69</v>
      </c>
      <c r="T69" s="219">
        <v>378.69</v>
      </c>
      <c r="U69" s="219">
        <v>757.38</v>
      </c>
    </row>
    <row r="70" spans="1:21" ht="24" customHeight="1">
      <c r="A70" s="2"/>
      <c r="B70" s="2"/>
      <c r="C70" s="49" t="s">
        <v>57</v>
      </c>
      <c r="D70" s="50" t="s">
        <v>43</v>
      </c>
      <c r="E70" s="51"/>
      <c r="F70" s="51"/>
      <c r="G70" s="52"/>
      <c r="H70" s="53">
        <f>INDEX(Проверка_CPC!$E:$E,MATCH("Японские розы.xlsx",Проверка_CPC!$A:$A,0))</f>
        <v>8.5399999999999991</v>
      </c>
      <c r="I70" s="54"/>
      <c r="P70" s="215" t="s">
        <v>424</v>
      </c>
      <c r="Q70" s="216" t="s">
        <v>348</v>
      </c>
      <c r="R70" s="215"/>
      <c r="S70" s="218">
        <v>2100</v>
      </c>
      <c r="T70" s="218">
        <v>2100</v>
      </c>
      <c r="U70" s="220">
        <v>4200</v>
      </c>
    </row>
    <row r="71" spans="1:21" ht="21.75" customHeight="1">
      <c r="A71" s="2"/>
      <c r="B71" s="2"/>
      <c r="C71" s="223" t="s">
        <v>58</v>
      </c>
      <c r="D71" s="77" t="s">
        <v>43</v>
      </c>
      <c r="E71" s="77"/>
      <c r="F71" s="78"/>
      <c r="G71" s="79"/>
      <c r="H71" s="55">
        <f>INDEX(Проверка_CPC!$E:$E,MATCH("РСЯ Тамара Розы.xlsx",Проверка_CPC!$A:$A,0))</f>
        <v>3.66</v>
      </c>
      <c r="I71" s="87"/>
      <c r="P71" s="215" t="s">
        <v>423</v>
      </c>
      <c r="Q71" s="216" t="s">
        <v>342</v>
      </c>
      <c r="R71" s="215"/>
      <c r="S71" s="219">
        <v>1721.31</v>
      </c>
      <c r="T71" s="219">
        <v>1721.31</v>
      </c>
      <c r="U71" s="219">
        <v>3442.62</v>
      </c>
    </row>
    <row r="72" spans="1:21" s="202" customFormat="1" ht="6" customHeight="1">
      <c r="A72" s="217"/>
      <c r="B72" s="217"/>
      <c r="S72" s="232"/>
      <c r="T72" s="232"/>
      <c r="U72" s="232"/>
    </row>
    <row r="73" spans="1:21" ht="24" customHeight="1">
      <c r="A73" s="2"/>
      <c r="B73" s="2"/>
      <c r="C73" s="81" t="s">
        <v>59</v>
      </c>
      <c r="D73" s="82" t="s">
        <v>43</v>
      </c>
      <c r="E73" s="83"/>
      <c r="F73" s="83"/>
      <c r="G73" s="84"/>
      <c r="H73" s="85">
        <f>INDEX(Проверка_CPC!$E:$E,MATCH("РСЯ общие розы.xlsx",Проверка_CPC!$A:$A,0))</f>
        <v>10.98</v>
      </c>
      <c r="I73" s="86"/>
      <c r="P73" s="285" t="s">
        <v>425</v>
      </c>
      <c r="Q73" s="286"/>
      <c r="R73" s="286"/>
      <c r="S73" s="286"/>
      <c r="T73" s="286"/>
      <c r="U73" s="286"/>
    </row>
    <row r="74" spans="1:21" ht="24" customHeight="1">
      <c r="A74" s="2"/>
      <c r="B74" s="2"/>
      <c r="C74" s="69" t="s">
        <v>60</v>
      </c>
      <c r="D74" s="70" t="s">
        <v>43</v>
      </c>
      <c r="E74" s="71">
        <f>F74/G74</f>
        <v>4925.6865912762523</v>
      </c>
      <c r="F74" s="71">
        <v>100</v>
      </c>
      <c r="G74" s="72">
        <f>INDEX(Прогноз_Direct_85!$F:$F,MATCH("РСЯ-популярные категории.xls",Прогноз_Direct_85!$A:$A,0))</f>
        <v>2.030173827484421E-2</v>
      </c>
      <c r="H74" s="73">
        <f>INDEX(Проверка_CPC!$E:$E,MATCH("РСЯ Популярные категории.xlsx",Проверка_CPC!$A:$A,0))</f>
        <v>10.98</v>
      </c>
      <c r="I74" s="74">
        <f>F74*H74</f>
        <v>1098</v>
      </c>
      <c r="P74" s="287"/>
      <c r="Q74" s="288"/>
      <c r="R74" s="288"/>
      <c r="S74" s="288"/>
      <c r="T74" s="288"/>
      <c r="U74" s="288"/>
    </row>
    <row r="75" spans="1:21" ht="24.75" customHeight="1">
      <c r="A75" s="2"/>
      <c r="B75" s="2"/>
      <c r="C75" s="36" t="s">
        <v>61</v>
      </c>
      <c r="D75" s="37" t="s">
        <v>43</v>
      </c>
      <c r="E75" s="38">
        <f>F75/G75</f>
        <v>2504.4075829383887</v>
      </c>
      <c r="F75" s="38">
        <v>100</v>
      </c>
      <c r="G75" s="39">
        <f>INDEX(Прогноз_Direct_85!$F:$F,MATCH("РСЯ-зимостойкие.xls",Прогноз_Direct_85!$A:$A,0))</f>
        <v>3.9929602785610203E-2</v>
      </c>
      <c r="H75" s="40">
        <f>INDEX(Проверка_CPC!$E:$E,MATCH("РСЯ Устойчивые_зимостойкие.xlsx",Проверка_CPC!$A:$A,0))</f>
        <v>8.5399999999999991</v>
      </c>
      <c r="I75" s="63">
        <f>F75*H75</f>
        <v>853.99999999999989</v>
      </c>
    </row>
    <row r="76" spans="1:21">
      <c r="A76" s="2"/>
      <c r="B76" s="2"/>
      <c r="C76" s="46" t="s">
        <v>62</v>
      </c>
      <c r="D76" s="46"/>
      <c r="E76" s="47">
        <f>SUM(E56:E75)</f>
        <v>21196.973911750665</v>
      </c>
      <c r="F76" s="47">
        <f>SUM(F56:F75)</f>
        <v>500</v>
      </c>
      <c r="G76" s="48">
        <f>F76/E76</f>
        <v>2.3588272650692941E-2</v>
      </c>
      <c r="H76" s="47">
        <f>I76/F76</f>
        <v>7.32</v>
      </c>
      <c r="I76" s="47">
        <f>SUM(I56:I75)</f>
        <v>3660</v>
      </c>
    </row>
    <row r="77" spans="1:21" ht="6" customHeight="1">
      <c r="A77" s="2"/>
      <c r="B77" s="2"/>
      <c r="C77" s="2"/>
      <c r="D77" s="2"/>
      <c r="E77" s="2"/>
      <c r="F77" s="2"/>
      <c r="G77" s="2"/>
      <c r="H77" s="2"/>
      <c r="I77" s="2"/>
    </row>
    <row r="78" spans="1:21" ht="57" customHeight="1">
      <c r="A78" s="2"/>
      <c r="B78" s="2"/>
      <c r="C78" s="279" t="s">
        <v>63</v>
      </c>
      <c r="D78" s="263"/>
      <c r="E78" s="263"/>
      <c r="F78" s="263"/>
      <c r="G78" s="263"/>
      <c r="H78" s="263"/>
      <c r="I78" s="263"/>
    </row>
    <row r="79" spans="1:21" ht="6" customHeight="1">
      <c r="A79" s="2"/>
      <c r="B79" s="2"/>
      <c r="C79" s="2"/>
      <c r="D79" s="2"/>
      <c r="E79" s="2"/>
      <c r="F79" s="2"/>
      <c r="G79" s="2"/>
      <c r="H79" s="2"/>
      <c r="I79" s="2"/>
    </row>
    <row r="80" spans="1:21" ht="58.5" customHeight="1">
      <c r="A80" s="2"/>
      <c r="B80" s="2"/>
      <c r="C80" s="265" t="s">
        <v>64</v>
      </c>
      <c r="D80" s="263"/>
      <c r="E80" s="263"/>
      <c r="F80" s="263"/>
      <c r="G80" s="263"/>
      <c r="H80" s="263"/>
      <c r="I80" s="263"/>
      <c r="J80" s="16"/>
    </row>
    <row r="81" spans="1:9" ht="6" customHeight="1">
      <c r="A81" s="2"/>
      <c r="B81" s="2"/>
      <c r="C81" s="2"/>
      <c r="D81" s="2"/>
      <c r="E81" s="2"/>
      <c r="F81" s="2"/>
      <c r="G81" s="2"/>
      <c r="H81" s="2"/>
      <c r="I81" s="2"/>
    </row>
    <row r="82" spans="1:9" ht="24.75" customHeight="1">
      <c r="A82" s="2"/>
      <c r="B82" s="2"/>
      <c r="C82" s="274" t="s">
        <v>446</v>
      </c>
      <c r="D82" s="263"/>
      <c r="E82" s="263"/>
      <c r="F82" s="263"/>
      <c r="G82" s="263"/>
      <c r="H82" s="263"/>
      <c r="I82" s="263"/>
    </row>
    <row r="83" spans="1:9" ht="24.75" customHeight="1">
      <c r="A83" s="2"/>
      <c r="B83" s="2"/>
      <c r="C83" s="11" t="s">
        <v>65</v>
      </c>
      <c r="D83" s="266" t="s">
        <v>66</v>
      </c>
      <c r="E83" s="263"/>
      <c r="F83" s="263"/>
      <c r="G83" s="11" t="s">
        <v>67</v>
      </c>
      <c r="H83" s="266" t="s">
        <v>68</v>
      </c>
      <c r="I83" s="263"/>
    </row>
    <row r="84" spans="1:9" ht="24.75" customHeight="1">
      <c r="A84" s="2"/>
      <c r="B84" s="2"/>
      <c r="C84" s="10" t="s">
        <v>69</v>
      </c>
      <c r="D84" s="279" t="s">
        <v>70</v>
      </c>
      <c r="E84" s="263"/>
      <c r="F84" s="263"/>
      <c r="G84" s="12">
        <f>H63</f>
        <v>4.88</v>
      </c>
      <c r="H84" s="278">
        <f>G84*100</f>
        <v>488</v>
      </c>
      <c r="I84" s="263"/>
    </row>
    <row r="85" spans="1:9" ht="24.75" customHeight="1">
      <c r="A85" s="2"/>
      <c r="B85" s="2"/>
      <c r="C85" s="13" t="s">
        <v>71</v>
      </c>
      <c r="D85" s="13" t="s">
        <v>72</v>
      </c>
      <c r="E85" s="13"/>
      <c r="F85" s="13"/>
      <c r="G85" s="14">
        <f>H68</f>
        <v>4.88</v>
      </c>
      <c r="H85" s="264">
        <f>G85*100</f>
        <v>488</v>
      </c>
      <c r="I85" s="263"/>
    </row>
    <row r="86" spans="1:9" ht="24.75" customHeight="1">
      <c r="A86" s="2"/>
      <c r="B86" s="2"/>
      <c r="C86" s="10" t="s">
        <v>73</v>
      </c>
      <c r="D86" s="279" t="s">
        <v>74</v>
      </c>
      <c r="E86" s="263"/>
      <c r="F86" s="263"/>
      <c r="G86" s="12">
        <f>H67</f>
        <v>7.32</v>
      </c>
      <c r="H86" s="278">
        <f>G86*100</f>
        <v>732</v>
      </c>
      <c r="I86" s="263"/>
    </row>
    <row r="87" spans="1:9" ht="6" customHeight="1">
      <c r="A87" s="2"/>
      <c r="B87" s="2"/>
      <c r="C87" s="2"/>
      <c r="D87" s="2"/>
      <c r="E87" s="2"/>
      <c r="F87" s="2"/>
      <c r="G87" s="2"/>
      <c r="H87" s="2"/>
      <c r="I87" s="2"/>
    </row>
    <row r="88" spans="1:9" ht="51" customHeight="1">
      <c r="A88" s="2"/>
      <c r="B88" s="2"/>
      <c r="C88" s="275" t="s">
        <v>75</v>
      </c>
      <c r="D88" s="263"/>
      <c r="E88" s="263"/>
      <c r="F88" s="263"/>
      <c r="G88" s="263"/>
      <c r="H88" s="263"/>
      <c r="I88" s="263"/>
    </row>
    <row r="89" spans="1:9" ht="38.25" customHeight="1">
      <c r="A89" s="2"/>
      <c r="B89" s="2"/>
      <c r="C89" s="276" t="s">
        <v>76</v>
      </c>
      <c r="D89" s="263"/>
      <c r="E89" s="263"/>
      <c r="F89" s="263"/>
      <c r="G89" s="263"/>
      <c r="H89" s="263"/>
      <c r="I89" s="263"/>
    </row>
    <row r="90" spans="1:9" ht="6" customHeight="1">
      <c r="A90" s="2"/>
      <c r="B90" s="2"/>
      <c r="C90" s="2"/>
      <c r="D90" s="2"/>
      <c r="E90" s="2"/>
      <c r="F90" s="2"/>
      <c r="G90" s="2"/>
      <c r="H90" s="2"/>
      <c r="I90" s="2"/>
    </row>
    <row r="91" spans="1:9" ht="24.75" customHeight="1">
      <c r="A91" s="2"/>
      <c r="B91" s="2"/>
      <c r="C91" s="274" t="s">
        <v>447</v>
      </c>
      <c r="D91" s="263"/>
      <c r="E91" s="263"/>
      <c r="F91" s="263"/>
      <c r="G91" s="263"/>
      <c r="H91" s="263"/>
      <c r="I91" s="263"/>
    </row>
    <row r="92" spans="1:9" ht="38.25" customHeight="1">
      <c r="A92" s="2"/>
      <c r="B92" s="2"/>
      <c r="C92" s="293" t="s">
        <v>77</v>
      </c>
      <c r="D92" s="263"/>
      <c r="E92" s="263"/>
      <c r="F92" s="263"/>
      <c r="G92" s="263"/>
      <c r="H92" s="263"/>
      <c r="I92" s="263"/>
    </row>
    <row r="93" spans="1:9" ht="24.75" customHeight="1">
      <c r="A93" s="2"/>
      <c r="B93" s="2"/>
      <c r="C93" s="11" t="s">
        <v>65</v>
      </c>
      <c r="D93" s="266" t="s">
        <v>66</v>
      </c>
      <c r="E93" s="263"/>
      <c r="F93" s="263"/>
      <c r="G93" s="11" t="s">
        <v>67</v>
      </c>
      <c r="H93" s="266" t="s">
        <v>68</v>
      </c>
      <c r="I93" s="263"/>
    </row>
    <row r="94" spans="1:9" ht="24.75" customHeight="1">
      <c r="A94" s="2"/>
      <c r="B94" s="2"/>
      <c r="C94" s="10" t="s">
        <v>78</v>
      </c>
      <c r="D94" s="279" t="s">
        <v>79</v>
      </c>
      <c r="E94" s="263"/>
      <c r="F94" s="263"/>
      <c r="G94" s="12">
        <f>H74</f>
        <v>10.98</v>
      </c>
      <c r="H94" s="278">
        <f>G94*100</f>
        <v>1098</v>
      </c>
      <c r="I94" s="263"/>
    </row>
    <row r="95" spans="1:9" ht="24.75" customHeight="1">
      <c r="A95" s="2"/>
      <c r="B95" s="2"/>
      <c r="C95" s="13" t="s">
        <v>80</v>
      </c>
      <c r="D95" s="268" t="s">
        <v>81</v>
      </c>
      <c r="E95" s="263"/>
      <c r="F95" s="263"/>
      <c r="G95" s="15">
        <f>H75</f>
        <v>8.5399999999999991</v>
      </c>
      <c r="H95" s="264">
        <f>G95*100</f>
        <v>853.99999999999989</v>
      </c>
      <c r="I95" s="263"/>
    </row>
    <row r="96" spans="1:9" ht="6" customHeight="1">
      <c r="A96" s="2"/>
      <c r="B96" s="2"/>
      <c r="C96" s="2"/>
      <c r="D96" s="2"/>
      <c r="E96" s="2"/>
      <c r="F96" s="2"/>
      <c r="G96" s="2"/>
      <c r="H96" s="2"/>
      <c r="I96" s="2"/>
    </row>
    <row r="97" spans="1:12" ht="51" customHeight="1">
      <c r="A97" s="2"/>
      <c r="B97" s="2"/>
      <c r="C97" s="284" t="s">
        <v>82</v>
      </c>
      <c r="D97" s="263"/>
      <c r="E97" s="263"/>
      <c r="F97" s="263"/>
      <c r="G97" s="263"/>
      <c r="H97" s="263"/>
      <c r="I97" s="263"/>
    </row>
    <row r="98" spans="1:12" ht="38.25" customHeight="1">
      <c r="A98" s="2"/>
      <c r="B98" s="2"/>
      <c r="C98" s="293" t="s">
        <v>83</v>
      </c>
      <c r="D98" s="263"/>
      <c r="E98" s="263"/>
      <c r="F98" s="263"/>
      <c r="G98" s="263"/>
      <c r="H98" s="263"/>
      <c r="I98" s="263"/>
    </row>
    <row r="99" spans="1:12" ht="6" customHeight="1">
      <c r="A99" s="2"/>
      <c r="B99" s="2"/>
      <c r="C99" s="2"/>
      <c r="D99" s="2"/>
      <c r="E99" s="2"/>
      <c r="F99" s="2"/>
      <c r="G99" s="2"/>
      <c r="H99" s="2"/>
      <c r="I99" s="2"/>
    </row>
    <row r="100" spans="1:12" ht="24" customHeight="1">
      <c r="A100" s="2"/>
      <c r="B100" s="2"/>
      <c r="C100" s="274" t="s">
        <v>84</v>
      </c>
      <c r="D100" s="263"/>
      <c r="E100" s="263"/>
      <c r="F100" s="263"/>
      <c r="G100" s="263"/>
      <c r="H100" s="263"/>
      <c r="I100" s="263"/>
    </row>
    <row r="101" spans="1:12" ht="6" customHeight="1">
      <c r="A101" s="2"/>
      <c r="B101" s="2"/>
      <c r="C101" s="2"/>
      <c r="D101" s="2"/>
      <c r="E101" s="2"/>
      <c r="F101" s="2"/>
      <c r="G101" s="2"/>
      <c r="H101" s="2"/>
      <c r="I101" s="2"/>
    </row>
    <row r="102" spans="1:12" ht="87" customHeight="1">
      <c r="A102" s="2"/>
      <c r="B102" s="2"/>
      <c r="C102" s="276" t="s">
        <v>85</v>
      </c>
      <c r="D102" s="263"/>
      <c r="E102" s="263"/>
      <c r="F102" s="263"/>
      <c r="G102" s="263"/>
      <c r="H102" s="263"/>
      <c r="I102" s="263"/>
    </row>
    <row r="103" spans="1:12" ht="6" customHeight="1">
      <c r="A103" s="2"/>
      <c r="B103" s="2"/>
      <c r="C103" s="2"/>
      <c r="D103" s="2"/>
      <c r="E103" s="2"/>
      <c r="F103" s="2"/>
      <c r="G103" s="2"/>
      <c r="H103" s="2"/>
      <c r="I103" s="2"/>
    </row>
    <row r="104" spans="1:12" ht="24" customHeight="1">
      <c r="A104" s="2"/>
      <c r="B104" s="2"/>
      <c r="C104" s="274" t="s">
        <v>86</v>
      </c>
      <c r="D104" s="263"/>
      <c r="E104" s="263"/>
      <c r="F104" s="263"/>
      <c r="G104" s="263"/>
      <c r="H104" s="263"/>
      <c r="I104" s="263"/>
    </row>
    <row r="105" spans="1:12" ht="313.5" customHeight="1">
      <c r="A105" s="2"/>
      <c r="B105" s="2"/>
      <c r="C105" s="267" t="s">
        <v>87</v>
      </c>
      <c r="D105" s="263"/>
      <c r="E105" s="263"/>
      <c r="F105" s="263"/>
      <c r="G105" s="263"/>
      <c r="H105" s="263"/>
      <c r="I105" s="263"/>
      <c r="J105" s="16"/>
      <c r="K105" s="16"/>
    </row>
    <row r="106" spans="1:12" ht="75" customHeight="1">
      <c r="A106" s="2"/>
      <c r="B106" s="2"/>
      <c r="C106" s="274" t="s">
        <v>88</v>
      </c>
      <c r="D106" s="263"/>
      <c r="E106" s="263"/>
      <c r="F106" s="263"/>
      <c r="G106" s="263"/>
      <c r="H106" s="263"/>
      <c r="I106" s="263"/>
    </row>
    <row r="107" spans="1:12" ht="117.75" customHeight="1">
      <c r="A107" s="2"/>
      <c r="B107" s="2"/>
      <c r="C107" s="267" t="s">
        <v>89</v>
      </c>
      <c r="D107" s="263"/>
      <c r="E107" s="263"/>
      <c r="F107" s="263"/>
      <c r="G107" s="263"/>
      <c r="H107" s="263"/>
      <c r="I107" s="263"/>
      <c r="J107" s="16"/>
      <c r="K107" s="16"/>
      <c r="L107" s="16"/>
    </row>
    <row r="108" spans="1:12" ht="6" customHeight="1">
      <c r="A108" s="2"/>
      <c r="B108" s="2"/>
      <c r="C108" s="2"/>
      <c r="D108" s="2"/>
      <c r="E108" s="2"/>
      <c r="F108" s="2"/>
      <c r="G108" s="2"/>
      <c r="H108" s="2"/>
      <c r="I108" s="2"/>
    </row>
    <row r="109" spans="1:12" ht="24" customHeight="1">
      <c r="A109" s="2"/>
      <c r="B109" s="2"/>
      <c r="C109" s="274" t="s">
        <v>448</v>
      </c>
      <c r="D109" s="263"/>
      <c r="E109" s="263"/>
      <c r="F109" s="263"/>
      <c r="G109" s="263"/>
      <c r="H109" s="263"/>
      <c r="I109" s="263"/>
      <c r="J109" s="34"/>
      <c r="K109" s="34"/>
    </row>
    <row r="110" spans="1:12" ht="28.5" customHeight="1">
      <c r="A110" s="2"/>
      <c r="B110" s="2"/>
      <c r="C110" s="281" t="s">
        <v>452</v>
      </c>
      <c r="D110" s="282"/>
      <c r="E110" s="282"/>
      <c r="F110" s="282"/>
      <c r="G110" s="282"/>
      <c r="H110" s="282"/>
      <c r="I110" s="282"/>
      <c r="J110" s="34"/>
      <c r="K110" s="34"/>
    </row>
    <row r="111" spans="1:12" ht="22.5" customHeight="1">
      <c r="A111" s="91"/>
      <c r="B111" s="91"/>
      <c r="C111" s="291" t="s">
        <v>443</v>
      </c>
      <c r="D111" s="292"/>
      <c r="E111" s="292"/>
      <c r="F111" s="292"/>
      <c r="G111" s="292"/>
      <c r="H111" s="292"/>
      <c r="I111" s="292"/>
    </row>
    <row r="112" spans="1:12" ht="44.25" customHeight="1">
      <c r="A112" s="91"/>
      <c r="B112" s="91"/>
      <c r="C112" s="281" t="s">
        <v>444</v>
      </c>
      <c r="D112" s="282"/>
      <c r="E112" s="282"/>
      <c r="F112" s="282"/>
      <c r="G112" s="282"/>
      <c r="H112" s="282"/>
      <c r="I112" s="282"/>
    </row>
    <row r="113" spans="1:21" ht="37.5" customHeight="1">
      <c r="A113" s="91"/>
      <c r="B113" s="91"/>
      <c r="C113" s="291" t="s">
        <v>445</v>
      </c>
      <c r="D113" s="292"/>
      <c r="E113" s="292"/>
      <c r="F113" s="292"/>
      <c r="G113" s="292"/>
      <c r="H113" s="292"/>
      <c r="I113" s="292"/>
    </row>
    <row r="114" spans="1:21" s="202" customFormat="1" ht="134.25" customHeight="1">
      <c r="A114" s="91"/>
      <c r="B114" s="91"/>
      <c r="C114" s="281" t="s">
        <v>459</v>
      </c>
      <c r="D114" s="282"/>
      <c r="E114" s="282"/>
      <c r="F114" s="282"/>
      <c r="G114" s="282"/>
      <c r="H114" s="282"/>
      <c r="I114" s="282"/>
      <c r="S114" s="232"/>
      <c r="T114" s="232"/>
      <c r="U114" s="232"/>
    </row>
    <row r="115" spans="1:21" ht="24" customHeight="1">
      <c r="A115" s="91"/>
      <c r="B115" s="91"/>
      <c r="C115" s="261" t="s">
        <v>449</v>
      </c>
      <c r="D115" s="261"/>
      <c r="E115" s="261"/>
      <c r="F115" s="261"/>
      <c r="G115" s="261"/>
      <c r="H115" s="261"/>
      <c r="I115" s="261"/>
    </row>
    <row r="116" spans="1:21" ht="6" customHeight="1">
      <c r="A116" s="91"/>
      <c r="B116" s="91"/>
      <c r="C116" s="214"/>
      <c r="D116" s="214"/>
      <c r="E116" s="214"/>
      <c r="F116" s="214"/>
      <c r="G116" s="214"/>
      <c r="H116" s="214"/>
      <c r="I116" s="214"/>
    </row>
    <row r="117" spans="1:21">
      <c r="A117" s="91"/>
      <c r="B117" s="91"/>
      <c r="C117" s="296" t="s">
        <v>426</v>
      </c>
      <c r="D117" s="296"/>
      <c r="E117" s="296"/>
      <c r="F117" s="296"/>
      <c r="G117" s="296"/>
      <c r="H117" s="296"/>
      <c r="I117" s="296"/>
    </row>
    <row r="118" spans="1:21" ht="409.5" customHeight="1">
      <c r="A118" s="91"/>
      <c r="B118" s="91"/>
      <c r="C118" s="295" t="s">
        <v>427</v>
      </c>
      <c r="D118" s="295"/>
      <c r="E118" s="295"/>
      <c r="F118" s="295"/>
      <c r="G118" s="295"/>
      <c r="H118" s="295"/>
      <c r="I118" s="295"/>
    </row>
    <row r="119" spans="1:21">
      <c r="A119" s="91"/>
      <c r="B119" s="91"/>
      <c r="C119" s="297"/>
      <c r="D119" s="297"/>
      <c r="E119" s="297"/>
      <c r="F119" s="297"/>
      <c r="G119" s="297"/>
      <c r="H119" s="297"/>
      <c r="I119" s="297"/>
    </row>
    <row r="120" spans="1:21">
      <c r="A120" s="91"/>
      <c r="B120" s="91"/>
      <c r="C120" s="296" t="s">
        <v>428</v>
      </c>
      <c r="D120" s="296"/>
      <c r="E120" s="296"/>
      <c r="F120" s="296"/>
      <c r="G120" s="296"/>
      <c r="H120" s="296"/>
      <c r="I120" s="296"/>
    </row>
    <row r="121" spans="1:21" ht="123.75" customHeight="1">
      <c r="A121" s="91"/>
      <c r="B121" s="91"/>
      <c r="C121" s="295" t="s">
        <v>429</v>
      </c>
      <c r="D121" s="295"/>
      <c r="E121" s="295"/>
      <c r="F121" s="295"/>
      <c r="G121" s="295"/>
      <c r="H121" s="295"/>
      <c r="I121" s="295"/>
      <c r="J121" s="212"/>
      <c r="K121" s="213"/>
    </row>
    <row r="122" spans="1:21" ht="6" customHeight="1">
      <c r="A122" s="91"/>
      <c r="B122" s="91"/>
      <c r="C122" s="214"/>
      <c r="D122" s="214"/>
      <c r="E122" s="214"/>
      <c r="F122" s="214"/>
      <c r="G122" s="214"/>
      <c r="H122" s="214"/>
      <c r="I122" s="214"/>
    </row>
    <row r="123" spans="1:21" ht="22.5" customHeight="1">
      <c r="A123" s="91"/>
      <c r="B123" s="91"/>
      <c r="C123" s="294" t="s">
        <v>430</v>
      </c>
      <c r="D123" s="294"/>
      <c r="E123" s="294"/>
      <c r="F123" s="294"/>
      <c r="G123" s="294"/>
      <c r="H123" s="294"/>
      <c r="I123" s="294"/>
    </row>
    <row r="124" spans="1:21" ht="6" customHeight="1">
      <c r="A124" s="91"/>
      <c r="B124" s="91"/>
      <c r="C124" s="214"/>
      <c r="D124" s="214"/>
      <c r="E124" s="214"/>
      <c r="F124" s="214"/>
      <c r="G124" s="214"/>
      <c r="H124" s="214"/>
      <c r="I124" s="214"/>
    </row>
    <row r="125" spans="1:21" ht="33" customHeight="1">
      <c r="A125" s="91"/>
      <c r="B125" s="91"/>
      <c r="C125" s="295" t="s">
        <v>431</v>
      </c>
      <c r="D125" s="295"/>
      <c r="E125" s="295"/>
      <c r="F125" s="295"/>
      <c r="G125" s="295"/>
      <c r="H125" s="295"/>
      <c r="I125" s="295"/>
    </row>
    <row r="126" spans="1:21" ht="6" customHeight="1">
      <c r="A126" s="91"/>
      <c r="B126" s="91"/>
      <c r="C126" s="91"/>
      <c r="D126" s="214"/>
      <c r="E126" s="214"/>
      <c r="F126" s="214"/>
      <c r="G126" s="214"/>
      <c r="H126" s="214"/>
      <c r="I126" s="214"/>
    </row>
    <row r="127" spans="1:21">
      <c r="A127" s="91"/>
      <c r="B127" s="91"/>
      <c r="C127" s="296" t="s">
        <v>432</v>
      </c>
      <c r="D127" s="296"/>
      <c r="E127" s="296"/>
      <c r="F127" s="296"/>
      <c r="G127" s="296"/>
      <c r="H127" s="296"/>
      <c r="I127" s="296"/>
    </row>
    <row r="128" spans="1:21" ht="109.5" customHeight="1">
      <c r="A128" s="91"/>
      <c r="B128" s="91"/>
      <c r="C128" s="295" t="s">
        <v>442</v>
      </c>
      <c r="D128" s="295"/>
      <c r="E128" s="295"/>
      <c r="F128" s="295"/>
      <c r="G128" s="295"/>
      <c r="H128" s="295"/>
      <c r="I128" s="295"/>
    </row>
    <row r="129" spans="1:11" ht="6" customHeight="1">
      <c r="A129" s="91"/>
      <c r="B129" s="91"/>
      <c r="C129" s="214"/>
      <c r="D129" s="214"/>
      <c r="E129" s="214"/>
      <c r="F129" s="214"/>
      <c r="G129" s="214"/>
      <c r="H129" s="214"/>
      <c r="I129" s="214"/>
    </row>
    <row r="130" spans="1:11" ht="33" customHeight="1">
      <c r="A130" s="91"/>
      <c r="B130" s="91"/>
      <c r="C130" s="294" t="s">
        <v>433</v>
      </c>
      <c r="D130" s="294"/>
      <c r="E130" s="294"/>
      <c r="F130" s="294"/>
      <c r="G130" s="294"/>
      <c r="H130" s="294"/>
      <c r="I130" s="294"/>
    </row>
    <row r="131" spans="1:11" ht="6" customHeight="1">
      <c r="A131" s="91"/>
      <c r="B131" s="91"/>
      <c r="C131" s="214"/>
      <c r="D131" s="214"/>
      <c r="E131" s="214"/>
      <c r="F131" s="214"/>
      <c r="G131" s="214"/>
      <c r="H131" s="214"/>
      <c r="I131" s="214"/>
    </row>
    <row r="132" spans="1:11" ht="15">
      <c r="A132" s="91"/>
      <c r="B132" s="91"/>
      <c r="C132" s="261" t="s">
        <v>450</v>
      </c>
      <c r="D132" s="261"/>
      <c r="E132" s="261"/>
      <c r="F132" s="261"/>
      <c r="G132" s="261"/>
      <c r="H132" s="261"/>
      <c r="I132" s="261"/>
    </row>
    <row r="133" spans="1:11" ht="6" customHeight="1">
      <c r="A133" s="91"/>
      <c r="B133" s="91"/>
      <c r="C133" s="214"/>
      <c r="D133" s="214"/>
      <c r="E133" s="214"/>
      <c r="F133" s="214"/>
      <c r="G133" s="214"/>
      <c r="H133" s="214"/>
      <c r="I133" s="214"/>
    </row>
    <row r="134" spans="1:11" ht="25.5" customHeight="1">
      <c r="A134" s="91"/>
      <c r="B134" s="91"/>
      <c r="C134" s="294" t="s">
        <v>434</v>
      </c>
      <c r="D134" s="294"/>
      <c r="E134" s="294"/>
      <c r="F134" s="294"/>
      <c r="G134" s="294"/>
      <c r="H134" s="294"/>
      <c r="I134" s="294"/>
    </row>
    <row r="135" spans="1:11" ht="6" customHeight="1">
      <c r="A135" s="91"/>
      <c r="B135" s="91"/>
      <c r="C135" s="214"/>
      <c r="D135" s="214"/>
      <c r="E135" s="214"/>
      <c r="F135" s="214"/>
      <c r="G135" s="214"/>
      <c r="H135" s="214"/>
      <c r="I135" s="214"/>
    </row>
    <row r="136" spans="1:11">
      <c r="A136" s="91"/>
      <c r="B136" s="91"/>
      <c r="C136" s="296" t="s">
        <v>435</v>
      </c>
      <c r="D136" s="296"/>
      <c r="E136" s="296"/>
      <c r="F136" s="296"/>
      <c r="G136" s="296"/>
      <c r="H136" s="296"/>
      <c r="I136" s="296"/>
    </row>
    <row r="137" spans="1:11" ht="120.75" customHeight="1">
      <c r="A137" s="91"/>
      <c r="B137" s="91"/>
      <c r="C137" s="295" t="s">
        <v>436</v>
      </c>
      <c r="D137" s="295"/>
      <c r="E137" s="295"/>
      <c r="F137" s="295"/>
      <c r="G137" s="295"/>
      <c r="H137" s="295"/>
      <c r="I137" s="295"/>
    </row>
    <row r="138" spans="1:11" ht="6" customHeight="1">
      <c r="A138" s="91"/>
      <c r="B138" s="91"/>
      <c r="C138" s="214"/>
      <c r="D138" s="214"/>
      <c r="E138" s="214"/>
      <c r="F138" s="214"/>
      <c r="G138" s="214"/>
      <c r="H138" s="214"/>
      <c r="I138" s="214"/>
    </row>
    <row r="139" spans="1:11">
      <c r="A139" s="91"/>
      <c r="B139" s="91"/>
      <c r="C139" s="296" t="s">
        <v>437</v>
      </c>
      <c r="D139" s="296"/>
      <c r="E139" s="296"/>
      <c r="F139" s="296"/>
      <c r="G139" s="296"/>
      <c r="H139" s="296"/>
      <c r="I139" s="296"/>
    </row>
    <row r="140" spans="1:11" ht="55.5" customHeight="1">
      <c r="A140" s="91"/>
      <c r="B140" s="91"/>
      <c r="C140" s="295" t="s">
        <v>438</v>
      </c>
      <c r="D140" s="295"/>
      <c r="E140" s="295"/>
      <c r="F140" s="295"/>
      <c r="G140" s="295"/>
      <c r="H140" s="295"/>
      <c r="I140" s="295"/>
      <c r="J140" s="212"/>
      <c r="K140" s="213"/>
    </row>
    <row r="141" spans="1:11" ht="6" customHeight="1">
      <c r="A141" s="91"/>
      <c r="B141" s="91"/>
      <c r="C141" s="214"/>
      <c r="D141" s="214"/>
      <c r="E141" s="214"/>
      <c r="F141" s="214"/>
      <c r="G141" s="214"/>
      <c r="H141" s="214"/>
      <c r="I141" s="214"/>
    </row>
    <row r="142" spans="1:11">
      <c r="A142" s="91"/>
      <c r="B142" s="91"/>
      <c r="C142" s="296" t="s">
        <v>439</v>
      </c>
      <c r="D142" s="296"/>
      <c r="E142" s="296"/>
      <c r="F142" s="296"/>
      <c r="G142" s="296"/>
      <c r="H142" s="296"/>
      <c r="I142" s="296"/>
    </row>
    <row r="143" spans="1:11" ht="94.5" customHeight="1">
      <c r="A143" s="91"/>
      <c r="B143" s="91"/>
      <c r="C143" s="295" t="s">
        <v>440</v>
      </c>
      <c r="D143" s="295"/>
      <c r="E143" s="295"/>
      <c r="F143" s="295"/>
      <c r="G143" s="295"/>
      <c r="H143" s="295"/>
      <c r="I143" s="295"/>
      <c r="J143" s="212"/>
      <c r="K143" s="213"/>
    </row>
    <row r="144" spans="1:11" ht="6" customHeight="1">
      <c r="A144" s="91"/>
      <c r="B144" s="91"/>
      <c r="C144" s="214"/>
      <c r="D144" s="214"/>
      <c r="E144" s="214"/>
      <c r="F144" s="214"/>
      <c r="G144" s="214"/>
      <c r="H144" s="214"/>
      <c r="I144" s="214"/>
    </row>
    <row r="145" spans="1:9" ht="15">
      <c r="A145" s="91"/>
      <c r="B145" s="91"/>
      <c r="C145" s="261" t="s">
        <v>451</v>
      </c>
      <c r="D145" s="261"/>
      <c r="E145" s="261"/>
      <c r="F145" s="261"/>
      <c r="G145" s="261"/>
      <c r="H145" s="261"/>
      <c r="I145" s="261"/>
    </row>
    <row r="146" spans="1:9" ht="6" customHeight="1">
      <c r="A146" s="91"/>
      <c r="B146" s="91"/>
      <c r="C146" s="214"/>
      <c r="D146" s="214"/>
      <c r="E146" s="214"/>
      <c r="F146" s="214"/>
      <c r="G146" s="214"/>
      <c r="H146" s="214"/>
      <c r="I146" s="214"/>
    </row>
    <row r="147" spans="1:9" ht="159" customHeight="1">
      <c r="A147" s="91"/>
      <c r="B147" s="91"/>
      <c r="C147" s="295" t="s">
        <v>441</v>
      </c>
      <c r="D147" s="295"/>
      <c r="E147" s="295"/>
      <c r="F147" s="295"/>
      <c r="G147" s="295"/>
      <c r="H147" s="295"/>
      <c r="I147" s="295"/>
    </row>
  </sheetData>
  <mergeCells count="93">
    <mergeCell ref="C142:I142"/>
    <mergeCell ref="C143:I143"/>
    <mergeCell ref="C145:I145"/>
    <mergeCell ref="C147:I147"/>
    <mergeCell ref="C127:I127"/>
    <mergeCell ref="C134:I134"/>
    <mergeCell ref="C136:I136"/>
    <mergeCell ref="C137:I137"/>
    <mergeCell ref="C139:I139"/>
    <mergeCell ref="C140:I140"/>
    <mergeCell ref="C117:I117"/>
    <mergeCell ref="C118:I118"/>
    <mergeCell ref="C119:I119"/>
    <mergeCell ref="C120:I120"/>
    <mergeCell ref="C121:I121"/>
    <mergeCell ref="C123:I123"/>
    <mergeCell ref="C125:I125"/>
    <mergeCell ref="C128:I128"/>
    <mergeCell ref="C130:I130"/>
    <mergeCell ref="C132:I132"/>
    <mergeCell ref="P73:U74"/>
    <mergeCell ref="P54:U54"/>
    <mergeCell ref="C111:I111"/>
    <mergeCell ref="C113:I113"/>
    <mergeCell ref="C114:I114"/>
    <mergeCell ref="C98:I98"/>
    <mergeCell ref="C109:I109"/>
    <mergeCell ref="C106:I106"/>
    <mergeCell ref="C105:I105"/>
    <mergeCell ref="C104:I104"/>
    <mergeCell ref="C110:I110"/>
    <mergeCell ref="C107:I107"/>
    <mergeCell ref="C92:I92"/>
    <mergeCell ref="H94:I94"/>
    <mergeCell ref="H84:I84"/>
    <mergeCell ref="D94:F94"/>
    <mergeCell ref="C2:I2"/>
    <mergeCell ref="C112:I112"/>
    <mergeCell ref="C11:I11"/>
    <mergeCell ref="H93:I93"/>
    <mergeCell ref="C52:I52"/>
    <mergeCell ref="C39:I39"/>
    <mergeCell ref="C6:I6"/>
    <mergeCell ref="D83:F83"/>
    <mergeCell ref="C89:I89"/>
    <mergeCell ref="C26:I26"/>
    <mergeCell ref="H85:I85"/>
    <mergeCell ref="C100:I100"/>
    <mergeCell ref="C13:I13"/>
    <mergeCell ref="C97:I97"/>
    <mergeCell ref="C102:I102"/>
    <mergeCell ref="C33:I33"/>
    <mergeCell ref="C10:I10"/>
    <mergeCell ref="C16:I16"/>
    <mergeCell ref="C25:I25"/>
    <mergeCell ref="C20:I20"/>
    <mergeCell ref="C44:I44"/>
    <mergeCell ref="C22:I22"/>
    <mergeCell ref="C32:I32"/>
    <mergeCell ref="C42:I42"/>
    <mergeCell ref="H86:I86"/>
    <mergeCell ref="D84:F84"/>
    <mergeCell ref="D86:F86"/>
    <mergeCell ref="C54:I54"/>
    <mergeCell ref="C78:I78"/>
    <mergeCell ref="C82:I82"/>
    <mergeCell ref="C19:I19"/>
    <mergeCell ref="C36:I36"/>
    <mergeCell ref="H83:I83"/>
    <mergeCell ref="C17:I17"/>
    <mergeCell ref="C88:I88"/>
    <mergeCell ref="C80:I80"/>
    <mergeCell ref="C38:I38"/>
    <mergeCell ref="C49:I49"/>
    <mergeCell ref="C28:I28"/>
    <mergeCell ref="C34:I34"/>
    <mergeCell ref="C91:I91"/>
    <mergeCell ref="K54:N54"/>
    <mergeCell ref="C115:I115"/>
    <mergeCell ref="C3:I3"/>
    <mergeCell ref="H95:I95"/>
    <mergeCell ref="C30:I30"/>
    <mergeCell ref="D93:F93"/>
    <mergeCell ref="C14:I14"/>
    <mergeCell ref="C45:I45"/>
    <mergeCell ref="D95:F95"/>
    <mergeCell ref="C4:I4"/>
    <mergeCell ref="C47:I47"/>
    <mergeCell ref="C31:I31"/>
    <mergeCell ref="C40:I40"/>
    <mergeCell ref="C23:I23"/>
    <mergeCell ref="C8:I8"/>
    <mergeCell ref="C7:I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sqref="A1:E1"/>
    </sheetView>
  </sheetViews>
  <sheetFormatPr defaultRowHeight="14.25"/>
  <cols>
    <col min="1" max="1" width="28" style="3" customWidth="1"/>
    <col min="2" max="2" width="36" style="3" customWidth="1"/>
    <col min="3" max="3" width="21" style="3" customWidth="1"/>
    <col min="4" max="4" width="18" style="3" customWidth="1"/>
    <col min="5" max="5" width="25" style="3" customWidth="1"/>
    <col min="6" max="6" width="9" style="3" customWidth="1"/>
    <col min="7" max="16384" width="9" style="3"/>
  </cols>
  <sheetData>
    <row r="1" spans="1:5" ht="24" customHeight="1">
      <c r="A1" s="300" t="s">
        <v>90</v>
      </c>
      <c r="B1" s="299"/>
      <c r="C1" s="299"/>
      <c r="D1" s="299"/>
      <c r="E1" s="299"/>
    </row>
    <row r="2" spans="1:5" ht="33" customHeight="1">
      <c r="A2" s="298" t="s">
        <v>91</v>
      </c>
      <c r="B2" s="299"/>
      <c r="C2" s="299"/>
      <c r="D2" s="299"/>
      <c r="E2" s="299"/>
    </row>
    <row r="3" spans="1:5">
      <c r="A3" s="4"/>
      <c r="B3" s="4"/>
      <c r="C3" s="4"/>
      <c r="D3" s="4"/>
      <c r="E3" s="4"/>
    </row>
    <row r="4" spans="1:5" ht="35.1" customHeight="1">
      <c r="A4" s="5" t="s">
        <v>92</v>
      </c>
      <c r="B4" s="5" t="s">
        <v>93</v>
      </c>
      <c r="C4" s="5" t="s">
        <v>94</v>
      </c>
      <c r="D4" s="5" t="s">
        <v>95</v>
      </c>
      <c r="E4" s="5" t="s">
        <v>96</v>
      </c>
    </row>
    <row r="5" spans="1:5">
      <c r="A5" s="6" t="s">
        <v>97</v>
      </c>
      <c r="B5" s="6" t="s">
        <v>98</v>
      </c>
      <c r="C5" s="7">
        <v>6.6391304350000002</v>
      </c>
      <c r="D5" s="7">
        <v>7</v>
      </c>
      <c r="E5" s="7">
        <v>8.5399999999999991</v>
      </c>
    </row>
    <row r="6" spans="1:5">
      <c r="A6" s="8" t="s">
        <v>99</v>
      </c>
      <c r="B6" s="8" t="s">
        <v>100</v>
      </c>
      <c r="C6" s="9">
        <v>7.0888888889999997</v>
      </c>
      <c r="D6" s="9">
        <v>7</v>
      </c>
      <c r="E6" s="9">
        <v>8.5399999999999991</v>
      </c>
    </row>
    <row r="7" spans="1:5">
      <c r="A7" s="6" t="s">
        <v>101</v>
      </c>
      <c r="B7" s="6" t="s">
        <v>102</v>
      </c>
      <c r="C7" s="7">
        <v>6.58</v>
      </c>
      <c r="D7" s="7">
        <v>7</v>
      </c>
      <c r="E7" s="7">
        <v>8.5399999999999991</v>
      </c>
    </row>
    <row r="8" spans="1:5">
      <c r="A8" s="8" t="s">
        <v>103</v>
      </c>
      <c r="B8" s="8" t="s">
        <v>104</v>
      </c>
      <c r="C8" s="9">
        <v>6.0555555559999998</v>
      </c>
      <c r="D8" s="9">
        <v>6</v>
      </c>
      <c r="E8" s="9">
        <v>7.32</v>
      </c>
    </row>
    <row r="9" spans="1:5">
      <c r="A9" s="6" t="s">
        <v>105</v>
      </c>
      <c r="B9" s="6" t="s">
        <v>106</v>
      </c>
      <c r="C9" s="7">
        <v>6.2214285709999997</v>
      </c>
      <c r="D9" s="7">
        <v>6</v>
      </c>
      <c r="E9" s="7">
        <v>7.32</v>
      </c>
    </row>
    <row r="10" spans="1:5">
      <c r="A10" s="8" t="s">
        <v>107</v>
      </c>
      <c r="B10" s="8" t="s">
        <v>108</v>
      </c>
      <c r="C10" s="9">
        <v>7.71875</v>
      </c>
      <c r="D10" s="9">
        <v>8</v>
      </c>
      <c r="E10" s="9">
        <v>9.76</v>
      </c>
    </row>
    <row r="11" spans="1:5">
      <c r="A11" s="6" t="s">
        <v>109</v>
      </c>
      <c r="B11" s="6" t="s">
        <v>110</v>
      </c>
      <c r="C11" s="7">
        <v>3.6</v>
      </c>
      <c r="D11" s="7">
        <v>4</v>
      </c>
      <c r="E11" s="7">
        <v>4.88</v>
      </c>
    </row>
    <row r="12" spans="1:5">
      <c r="A12" s="8" t="s">
        <v>111</v>
      </c>
      <c r="B12" s="8" t="s">
        <v>112</v>
      </c>
      <c r="C12" s="9">
        <v>4.7</v>
      </c>
      <c r="D12" s="9">
        <v>5</v>
      </c>
      <c r="E12" s="9">
        <v>6.1</v>
      </c>
    </row>
    <row r="13" spans="1:5">
      <c r="A13" s="6" t="s">
        <v>113</v>
      </c>
      <c r="B13" s="6" t="s">
        <v>114</v>
      </c>
      <c r="C13" s="7">
        <v>7.3920000000000003</v>
      </c>
      <c r="D13" s="7">
        <v>7</v>
      </c>
      <c r="E13" s="7">
        <v>8.5399999999999991</v>
      </c>
    </row>
    <row r="14" spans="1:5">
      <c r="A14" s="8" t="s">
        <v>115</v>
      </c>
      <c r="B14" s="8" t="s">
        <v>116</v>
      </c>
      <c r="C14" s="9">
        <v>6.8217391300000001</v>
      </c>
      <c r="D14" s="9">
        <v>7</v>
      </c>
      <c r="E14" s="9">
        <v>8.5399999999999991</v>
      </c>
    </row>
    <row r="15" spans="1:5">
      <c r="A15" s="6" t="s">
        <v>117</v>
      </c>
      <c r="B15" s="6" t="s">
        <v>118</v>
      </c>
      <c r="C15" s="7">
        <v>9.4833333329999991</v>
      </c>
      <c r="D15" s="7">
        <v>9</v>
      </c>
      <c r="E15" s="7">
        <v>10.98</v>
      </c>
    </row>
    <row r="16" spans="1:5" ht="28.5" customHeight="1">
      <c r="A16" s="8" t="s">
        <v>119</v>
      </c>
      <c r="B16" s="8" t="s">
        <v>120</v>
      </c>
      <c r="C16" s="9">
        <v>8.5</v>
      </c>
      <c r="D16" s="9">
        <v>9</v>
      </c>
      <c r="E16" s="9">
        <v>10.98</v>
      </c>
    </row>
    <row r="17" spans="1:5">
      <c r="A17" s="6" t="s">
        <v>121</v>
      </c>
      <c r="B17" s="6" t="s">
        <v>122</v>
      </c>
      <c r="C17" s="7">
        <v>3.125</v>
      </c>
      <c r="D17" s="7">
        <v>3</v>
      </c>
      <c r="E17" s="7">
        <v>3.66</v>
      </c>
    </row>
    <row r="18" spans="1:5" ht="28.5" customHeight="1">
      <c r="A18" s="8" t="s">
        <v>123</v>
      </c>
      <c r="B18" s="8" t="s">
        <v>124</v>
      </c>
      <c r="C18" s="9">
        <v>7.0666666669999998</v>
      </c>
      <c r="D18" s="9">
        <v>7</v>
      </c>
      <c r="E18" s="9">
        <v>8.5399999999999991</v>
      </c>
    </row>
    <row r="19" spans="1:5">
      <c r="A19" s="6" t="s">
        <v>125</v>
      </c>
      <c r="B19" s="6" t="s">
        <v>126</v>
      </c>
      <c r="C19" s="7">
        <v>9.1</v>
      </c>
      <c r="D19" s="7">
        <v>9</v>
      </c>
      <c r="E19" s="7">
        <v>10.98</v>
      </c>
    </row>
    <row r="20" spans="1:5">
      <c r="A20" s="8" t="s">
        <v>127</v>
      </c>
      <c r="B20" s="8" t="s">
        <v>128</v>
      </c>
      <c r="C20" s="9">
        <v>5.730357143</v>
      </c>
      <c r="D20" s="9">
        <v>6</v>
      </c>
      <c r="E20" s="9">
        <v>7.32</v>
      </c>
    </row>
    <row r="21" spans="1:5">
      <c r="A21" s="6" t="s">
        <v>129</v>
      </c>
      <c r="B21" s="6" t="s">
        <v>130</v>
      </c>
      <c r="C21" s="7">
        <v>4.3899999999999997</v>
      </c>
      <c r="D21" s="7">
        <v>4</v>
      </c>
      <c r="E21" s="7">
        <v>4.88</v>
      </c>
    </row>
    <row r="22" spans="1:5">
      <c r="A22" s="8" t="s">
        <v>131</v>
      </c>
      <c r="B22" s="8" t="s">
        <v>132</v>
      </c>
      <c r="C22" s="9">
        <v>6.4416666669999998</v>
      </c>
      <c r="D22" s="9">
        <v>6</v>
      </c>
      <c r="E22" s="9">
        <v>7.32</v>
      </c>
    </row>
    <row r="23" spans="1:5">
      <c r="A23" s="6" t="s">
        <v>133</v>
      </c>
      <c r="B23" s="6" t="s">
        <v>134</v>
      </c>
      <c r="C23" s="7">
        <v>6.5086956520000001</v>
      </c>
      <c r="D23" s="7">
        <v>7</v>
      </c>
      <c r="E23" s="7">
        <v>8.5399999999999991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8"/>
  <sheetViews>
    <sheetView workbookViewId="0">
      <selection sqref="A1:H1"/>
    </sheetView>
  </sheetViews>
  <sheetFormatPr defaultRowHeight="14.25"/>
  <cols>
    <col min="1" max="1" width="28" customWidth="1"/>
    <col min="2" max="2" width="16" customWidth="1"/>
    <col min="3" max="3" width="34" customWidth="1"/>
    <col min="4" max="4" width="14" customWidth="1"/>
    <col min="5" max="6" width="12" customWidth="1"/>
    <col min="7" max="7" width="16" customWidth="1"/>
    <col min="8" max="8" width="18" customWidth="1"/>
  </cols>
  <sheetData>
    <row r="1" spans="1:8" ht="24" customHeight="1">
      <c r="A1" s="301" t="s">
        <v>135</v>
      </c>
      <c r="B1" s="302"/>
      <c r="C1" s="302"/>
      <c r="D1" s="302"/>
      <c r="E1" s="302"/>
      <c r="F1" s="302"/>
      <c r="G1" s="302"/>
      <c r="H1" s="303"/>
    </row>
    <row r="2" spans="1:8" ht="38.1" customHeight="1">
      <c r="A2" s="304" t="s">
        <v>136</v>
      </c>
      <c r="B2" s="302"/>
      <c r="C2" s="302"/>
      <c r="D2" s="302"/>
      <c r="E2" s="302"/>
      <c r="F2" s="302"/>
      <c r="G2" s="302"/>
      <c r="H2" s="303"/>
    </row>
    <row r="4" spans="1:8" ht="33.950000000000003" customHeight="1">
      <c r="A4" s="17" t="s">
        <v>92</v>
      </c>
      <c r="B4" s="17" t="s">
        <v>137</v>
      </c>
      <c r="C4" s="17" t="s">
        <v>138</v>
      </c>
      <c r="D4" s="17" t="s">
        <v>139</v>
      </c>
      <c r="E4" s="17" t="s">
        <v>140</v>
      </c>
      <c r="F4" s="17" t="s">
        <v>141</v>
      </c>
      <c r="G4" s="17" t="s">
        <v>142</v>
      </c>
      <c r="H4" s="17" t="s">
        <v>143</v>
      </c>
    </row>
    <row r="5" spans="1:8" ht="15">
      <c r="A5" s="18" t="s">
        <v>144</v>
      </c>
      <c r="B5" s="18">
        <v>63</v>
      </c>
      <c r="C5" s="18" t="s">
        <v>50</v>
      </c>
      <c r="D5" s="19">
        <v>81255</v>
      </c>
      <c r="E5" s="19">
        <v>2767</v>
      </c>
      <c r="F5" s="20">
        <v>3.4053289028367482E-2</v>
      </c>
      <c r="G5" s="21">
        <v>8.6833393567040105</v>
      </c>
      <c r="H5" s="21">
        <v>24026.799999999999</v>
      </c>
    </row>
    <row r="6" spans="1:8" ht="15">
      <c r="A6" s="22" t="s">
        <v>145</v>
      </c>
      <c r="B6" s="22">
        <v>67</v>
      </c>
      <c r="C6" s="22" t="s">
        <v>54</v>
      </c>
      <c r="D6" s="23">
        <v>111559</v>
      </c>
      <c r="E6" s="23">
        <v>2146</v>
      </c>
      <c r="F6" s="24">
        <v>1.9236457838453191E-2</v>
      </c>
      <c r="G6" s="25">
        <v>7.949720410065237</v>
      </c>
      <c r="H6" s="25">
        <v>17060.099999999999</v>
      </c>
    </row>
    <row r="7" spans="1:8" ht="15">
      <c r="A7" s="18" t="s">
        <v>146</v>
      </c>
      <c r="B7" s="18">
        <v>68</v>
      </c>
      <c r="C7" s="18" t="s">
        <v>55</v>
      </c>
      <c r="D7" s="19">
        <v>70567</v>
      </c>
      <c r="E7" s="19">
        <v>1253</v>
      </c>
      <c r="F7" s="20">
        <v>1.7756174982640611E-2</v>
      </c>
      <c r="G7" s="21">
        <v>8.0624900239425372</v>
      </c>
      <c r="H7" s="21">
        <v>10102.299999999999</v>
      </c>
    </row>
    <row r="8" spans="1:8" ht="15">
      <c r="A8" s="22" t="s">
        <v>147</v>
      </c>
      <c r="B8" s="22">
        <v>73</v>
      </c>
      <c r="C8" s="22" t="s">
        <v>60</v>
      </c>
      <c r="D8" s="23">
        <v>182940</v>
      </c>
      <c r="E8" s="23">
        <v>3714</v>
      </c>
      <c r="F8" s="24">
        <v>2.030173827484421E-2</v>
      </c>
      <c r="G8" s="25">
        <v>12.096499730748519</v>
      </c>
      <c r="H8" s="25">
        <v>44926.400000000001</v>
      </c>
    </row>
    <row r="9" spans="1:8" ht="15">
      <c r="A9" s="18" t="s">
        <v>148</v>
      </c>
      <c r="B9" s="18">
        <v>74</v>
      </c>
      <c r="C9" s="18" t="s">
        <v>61</v>
      </c>
      <c r="D9" s="19">
        <v>52843</v>
      </c>
      <c r="E9" s="19">
        <v>2110</v>
      </c>
      <c r="F9" s="20">
        <v>3.9929602785610203E-2</v>
      </c>
      <c r="G9" s="21">
        <v>10.29189573459715</v>
      </c>
      <c r="H9" s="21">
        <v>21715.9</v>
      </c>
    </row>
    <row r="10" spans="1:8" ht="15">
      <c r="A10" s="26" t="s">
        <v>149</v>
      </c>
      <c r="B10" s="27"/>
      <c r="C10" s="27"/>
      <c r="D10" s="28">
        <f>SUM(D5:D9)</f>
        <v>499164</v>
      </c>
      <c r="E10" s="28">
        <f>SUM(E5:E9)</f>
        <v>11990</v>
      </c>
      <c r="F10" s="29">
        <f>E10/D10</f>
        <v>2.4020161710379753E-2</v>
      </c>
      <c r="G10" s="30">
        <f>H10/E10</f>
        <v>9.8274812343619686</v>
      </c>
      <c r="H10" s="30">
        <f>SUM(H5:H9)</f>
        <v>117831.5</v>
      </c>
    </row>
    <row r="13" spans="1:8" ht="15">
      <c r="A13" s="301" t="s">
        <v>150</v>
      </c>
      <c r="B13" s="302"/>
      <c r="C13" s="302"/>
      <c r="D13" s="302"/>
      <c r="E13" s="302"/>
      <c r="F13" s="302"/>
      <c r="G13" s="302"/>
      <c r="H13" s="303"/>
    </row>
    <row r="14" spans="1:8" ht="30">
      <c r="A14" s="17" t="s">
        <v>92</v>
      </c>
      <c r="B14" s="17" t="s">
        <v>151</v>
      </c>
      <c r="C14" s="17" t="s">
        <v>152</v>
      </c>
      <c r="D14" s="17" t="s">
        <v>153</v>
      </c>
      <c r="E14" s="17" t="s">
        <v>139</v>
      </c>
      <c r="F14" s="17" t="s">
        <v>140</v>
      </c>
      <c r="G14" s="17" t="s">
        <v>142</v>
      </c>
      <c r="H14" s="17" t="s">
        <v>143</v>
      </c>
    </row>
    <row r="15" spans="1:8" ht="30">
      <c r="A15" s="31" t="s">
        <v>144</v>
      </c>
      <c r="B15" s="31" t="s">
        <v>110</v>
      </c>
      <c r="C15" s="32">
        <v>3086</v>
      </c>
      <c r="D15" s="31">
        <v>85</v>
      </c>
      <c r="E15" s="32">
        <v>2420</v>
      </c>
      <c r="F15" s="32">
        <v>41</v>
      </c>
      <c r="G15" s="33">
        <v>16.5</v>
      </c>
      <c r="H15" s="33">
        <v>676.5</v>
      </c>
    </row>
    <row r="16" spans="1:8" ht="30">
      <c r="A16" s="31" t="s">
        <v>144</v>
      </c>
      <c r="B16" s="31" t="s">
        <v>154</v>
      </c>
      <c r="C16" s="32">
        <v>2176</v>
      </c>
      <c r="D16" s="31">
        <v>85</v>
      </c>
      <c r="E16" s="32">
        <v>1655</v>
      </c>
      <c r="F16" s="32">
        <v>97</v>
      </c>
      <c r="G16" s="33">
        <v>7.4</v>
      </c>
      <c r="H16" s="33">
        <v>717.8</v>
      </c>
    </row>
    <row r="17" spans="1:8" ht="30">
      <c r="A17" s="31" t="s">
        <v>144</v>
      </c>
      <c r="B17" s="31" t="s">
        <v>155</v>
      </c>
      <c r="C17" s="32">
        <v>2624</v>
      </c>
      <c r="D17" s="31">
        <v>85</v>
      </c>
      <c r="E17" s="32">
        <v>2144</v>
      </c>
      <c r="F17" s="32">
        <v>73</v>
      </c>
      <c r="G17" s="33">
        <v>4.5</v>
      </c>
      <c r="H17" s="33">
        <v>328.5</v>
      </c>
    </row>
    <row r="18" spans="1:8" ht="30">
      <c r="A18" s="31" t="s">
        <v>144</v>
      </c>
      <c r="B18" s="31" t="s">
        <v>156</v>
      </c>
      <c r="C18" s="32">
        <v>1428</v>
      </c>
      <c r="D18" s="31">
        <v>85</v>
      </c>
      <c r="E18" s="32">
        <v>1235</v>
      </c>
      <c r="F18" s="32">
        <v>41</v>
      </c>
      <c r="G18" s="33">
        <v>13.9</v>
      </c>
      <c r="H18" s="33">
        <v>569.9</v>
      </c>
    </row>
    <row r="19" spans="1:8" ht="30">
      <c r="A19" s="31" t="s">
        <v>144</v>
      </c>
      <c r="B19" s="31" t="s">
        <v>157</v>
      </c>
      <c r="C19" s="32">
        <v>1868</v>
      </c>
      <c r="D19" s="31">
        <v>85</v>
      </c>
      <c r="E19" s="32">
        <v>1375</v>
      </c>
      <c r="F19" s="32">
        <v>65</v>
      </c>
      <c r="G19" s="33">
        <v>9.4</v>
      </c>
      <c r="H19" s="33">
        <v>611</v>
      </c>
    </row>
    <row r="20" spans="1:8" ht="30">
      <c r="A20" s="31" t="s">
        <v>144</v>
      </c>
      <c r="B20" s="31" t="s">
        <v>158</v>
      </c>
      <c r="C20" s="32">
        <v>893</v>
      </c>
      <c r="D20" s="31">
        <v>85</v>
      </c>
      <c r="E20" s="32">
        <v>793</v>
      </c>
      <c r="F20" s="32">
        <v>24</v>
      </c>
      <c r="G20" s="33">
        <v>14.2</v>
      </c>
      <c r="H20" s="33">
        <v>340.8</v>
      </c>
    </row>
    <row r="21" spans="1:8" ht="30">
      <c r="A21" s="31" t="s">
        <v>144</v>
      </c>
      <c r="B21" s="31" t="s">
        <v>159</v>
      </c>
      <c r="C21" s="32">
        <v>662</v>
      </c>
      <c r="D21" s="31">
        <v>85</v>
      </c>
      <c r="E21" s="32">
        <v>505</v>
      </c>
      <c r="F21" s="32">
        <v>21</v>
      </c>
      <c r="G21" s="33">
        <v>4</v>
      </c>
      <c r="H21" s="33">
        <v>84</v>
      </c>
    </row>
    <row r="22" spans="1:8" ht="30">
      <c r="A22" s="31" t="s">
        <v>144</v>
      </c>
      <c r="B22" s="31" t="s">
        <v>160</v>
      </c>
      <c r="C22" s="32">
        <v>4632</v>
      </c>
      <c r="D22" s="31">
        <v>85</v>
      </c>
      <c r="E22" s="32">
        <v>48</v>
      </c>
      <c r="F22" s="32">
        <v>3</v>
      </c>
      <c r="G22" s="33">
        <v>2.5</v>
      </c>
      <c r="H22" s="33">
        <v>7.5</v>
      </c>
    </row>
    <row r="23" spans="1:8" ht="30">
      <c r="A23" s="31" t="s">
        <v>144</v>
      </c>
      <c r="B23" s="31" t="s">
        <v>161</v>
      </c>
      <c r="C23" s="32">
        <v>1078</v>
      </c>
      <c r="D23" s="31">
        <v>85</v>
      </c>
      <c r="E23" s="32">
        <v>904</v>
      </c>
      <c r="F23" s="32">
        <v>17</v>
      </c>
      <c r="G23" s="33">
        <v>7.6</v>
      </c>
      <c r="H23" s="33">
        <v>129.19999999999999</v>
      </c>
    </row>
    <row r="24" spans="1:8" ht="30">
      <c r="A24" s="31" t="s">
        <v>144</v>
      </c>
      <c r="B24" s="31" t="s">
        <v>162</v>
      </c>
      <c r="C24" s="32">
        <v>1189</v>
      </c>
      <c r="D24" s="31">
        <v>85</v>
      </c>
      <c r="E24" s="32">
        <v>924</v>
      </c>
      <c r="F24" s="32">
        <v>18</v>
      </c>
      <c r="G24" s="33">
        <v>11.8</v>
      </c>
      <c r="H24" s="33">
        <v>212.4</v>
      </c>
    </row>
    <row r="25" spans="1:8" ht="30">
      <c r="A25" s="31" t="s">
        <v>144</v>
      </c>
      <c r="B25" s="31" t="s">
        <v>163</v>
      </c>
      <c r="C25" s="32">
        <v>2020</v>
      </c>
      <c r="D25" s="31">
        <v>85</v>
      </c>
      <c r="E25" s="32">
        <v>1596</v>
      </c>
      <c r="F25" s="32">
        <v>158</v>
      </c>
      <c r="G25" s="33">
        <v>15.9</v>
      </c>
      <c r="H25" s="33">
        <v>2512.1999999999998</v>
      </c>
    </row>
    <row r="26" spans="1:8" ht="30">
      <c r="A26" s="31" t="s">
        <v>144</v>
      </c>
      <c r="B26" s="31" t="s">
        <v>164</v>
      </c>
      <c r="C26" s="32">
        <v>511</v>
      </c>
      <c r="D26" s="31">
        <v>85</v>
      </c>
      <c r="E26" s="32">
        <v>392</v>
      </c>
      <c r="F26" s="32">
        <v>18</v>
      </c>
      <c r="G26" s="33">
        <v>9.4</v>
      </c>
      <c r="H26" s="33">
        <v>169.2</v>
      </c>
    </row>
    <row r="27" spans="1:8" ht="45">
      <c r="A27" s="31" t="s">
        <v>144</v>
      </c>
      <c r="B27" s="31" t="s">
        <v>165</v>
      </c>
      <c r="C27" s="32">
        <v>280</v>
      </c>
      <c r="D27" s="31">
        <v>85</v>
      </c>
      <c r="E27" s="32">
        <v>265</v>
      </c>
      <c r="F27" s="32">
        <v>33</v>
      </c>
      <c r="G27" s="33">
        <v>11.6</v>
      </c>
      <c r="H27" s="33">
        <v>382.8</v>
      </c>
    </row>
    <row r="28" spans="1:8" ht="30">
      <c r="A28" s="31" t="s">
        <v>144</v>
      </c>
      <c r="B28" s="31" t="s">
        <v>166</v>
      </c>
      <c r="C28" s="32">
        <v>1314</v>
      </c>
      <c r="D28" s="31">
        <v>85</v>
      </c>
      <c r="E28" s="32">
        <v>775</v>
      </c>
      <c r="F28" s="32">
        <v>11</v>
      </c>
      <c r="G28" s="33">
        <v>14.9</v>
      </c>
      <c r="H28" s="33">
        <v>163.9</v>
      </c>
    </row>
    <row r="29" spans="1:8" ht="30">
      <c r="A29" s="31" t="s">
        <v>144</v>
      </c>
      <c r="B29" s="31" t="s">
        <v>167</v>
      </c>
      <c r="C29" s="32">
        <v>871</v>
      </c>
      <c r="D29" s="31">
        <v>85</v>
      </c>
      <c r="E29" s="32">
        <v>714</v>
      </c>
      <c r="F29" s="32">
        <v>11</v>
      </c>
      <c r="G29" s="33">
        <v>7</v>
      </c>
      <c r="H29" s="33">
        <v>77</v>
      </c>
    </row>
    <row r="30" spans="1:8" ht="30">
      <c r="A30" s="31" t="s">
        <v>144</v>
      </c>
      <c r="B30" s="31" t="s">
        <v>168</v>
      </c>
      <c r="C30" s="32">
        <v>5143</v>
      </c>
      <c r="D30" s="31">
        <v>85</v>
      </c>
      <c r="E30" s="32">
        <v>4359</v>
      </c>
      <c r="F30" s="32">
        <v>159</v>
      </c>
      <c r="G30" s="33">
        <v>4.9000000000000004</v>
      </c>
      <c r="H30" s="33">
        <v>779.1</v>
      </c>
    </row>
    <row r="31" spans="1:8" ht="30">
      <c r="A31" s="31" t="s">
        <v>144</v>
      </c>
      <c r="B31" s="31" t="s">
        <v>169</v>
      </c>
      <c r="C31" s="32">
        <v>556</v>
      </c>
      <c r="D31" s="31">
        <v>85</v>
      </c>
      <c r="E31" s="32">
        <v>459</v>
      </c>
      <c r="F31" s="32">
        <v>5</v>
      </c>
      <c r="G31" s="33">
        <v>9.1999999999999993</v>
      </c>
      <c r="H31" s="33">
        <v>46</v>
      </c>
    </row>
    <row r="32" spans="1:8" ht="30">
      <c r="A32" s="31" t="s">
        <v>144</v>
      </c>
      <c r="B32" s="31" t="s">
        <v>170</v>
      </c>
      <c r="C32" s="32">
        <v>1390</v>
      </c>
      <c r="D32" s="31">
        <v>85</v>
      </c>
      <c r="E32" s="32">
        <v>1116</v>
      </c>
      <c r="F32" s="32">
        <v>36</v>
      </c>
      <c r="G32" s="33">
        <v>4.9000000000000004</v>
      </c>
      <c r="H32" s="33">
        <v>176.4</v>
      </c>
    </row>
    <row r="33" spans="1:8" ht="30">
      <c r="A33" s="31" t="s">
        <v>144</v>
      </c>
      <c r="B33" s="31" t="s">
        <v>171</v>
      </c>
      <c r="C33" s="32">
        <v>496</v>
      </c>
      <c r="D33" s="31">
        <v>85</v>
      </c>
      <c r="E33" s="32">
        <v>433</v>
      </c>
      <c r="F33" s="32">
        <v>7</v>
      </c>
      <c r="G33" s="33">
        <v>5.9</v>
      </c>
      <c r="H33" s="33">
        <v>41.3</v>
      </c>
    </row>
    <row r="34" spans="1:8" ht="15">
      <c r="A34" s="31" t="s">
        <v>144</v>
      </c>
      <c r="B34" s="31" t="s">
        <v>172</v>
      </c>
      <c r="C34" s="32">
        <v>2207</v>
      </c>
      <c r="D34" s="31">
        <v>85</v>
      </c>
      <c r="E34" s="32">
        <v>1783</v>
      </c>
      <c r="F34" s="32">
        <v>42</v>
      </c>
      <c r="G34" s="33">
        <v>3.9</v>
      </c>
      <c r="H34" s="33">
        <v>163.80000000000001</v>
      </c>
    </row>
    <row r="35" spans="1:8" ht="30">
      <c r="A35" s="31" t="s">
        <v>144</v>
      </c>
      <c r="B35" s="31" t="s">
        <v>173</v>
      </c>
      <c r="C35" s="32">
        <v>1273</v>
      </c>
      <c r="D35" s="31">
        <v>85</v>
      </c>
      <c r="E35" s="32">
        <v>911</v>
      </c>
      <c r="F35" s="32">
        <v>25</v>
      </c>
      <c r="G35" s="33">
        <v>3.7</v>
      </c>
      <c r="H35" s="33">
        <v>92.5</v>
      </c>
    </row>
    <row r="36" spans="1:8" ht="30">
      <c r="A36" s="31" t="s">
        <v>144</v>
      </c>
      <c r="B36" s="31" t="s">
        <v>174</v>
      </c>
      <c r="C36" s="32">
        <v>364</v>
      </c>
      <c r="D36" s="31">
        <v>85</v>
      </c>
      <c r="E36" s="32">
        <v>261</v>
      </c>
      <c r="F36" s="32">
        <v>5</v>
      </c>
      <c r="G36" s="33">
        <v>4.7</v>
      </c>
      <c r="H36" s="33">
        <v>23.5</v>
      </c>
    </row>
    <row r="37" spans="1:8" ht="15">
      <c r="A37" s="31" t="s">
        <v>144</v>
      </c>
      <c r="B37" s="31" t="s">
        <v>175</v>
      </c>
      <c r="C37" s="32">
        <v>325</v>
      </c>
      <c r="D37" s="31">
        <v>85</v>
      </c>
      <c r="E37" s="32">
        <v>272</v>
      </c>
      <c r="F37" s="32">
        <v>3</v>
      </c>
      <c r="G37" s="33">
        <v>11.2</v>
      </c>
      <c r="H37" s="33">
        <v>33.6</v>
      </c>
    </row>
    <row r="38" spans="1:8" ht="15">
      <c r="A38" s="31" t="s">
        <v>144</v>
      </c>
      <c r="B38" s="31" t="s">
        <v>176</v>
      </c>
      <c r="C38" s="32">
        <v>864</v>
      </c>
      <c r="D38" s="31">
        <v>85</v>
      </c>
      <c r="E38" s="32">
        <v>665</v>
      </c>
      <c r="F38" s="32">
        <v>12</v>
      </c>
      <c r="G38" s="33">
        <v>5.0999999999999996</v>
      </c>
      <c r="H38" s="33">
        <v>61.2</v>
      </c>
    </row>
    <row r="39" spans="1:8" ht="15">
      <c r="A39" s="31" t="s">
        <v>144</v>
      </c>
      <c r="B39" s="31" t="s">
        <v>177</v>
      </c>
      <c r="C39" s="32">
        <v>777</v>
      </c>
      <c r="D39" s="31">
        <v>85</v>
      </c>
      <c r="E39" s="32">
        <v>694</v>
      </c>
      <c r="F39" s="32">
        <v>8</v>
      </c>
      <c r="G39" s="33">
        <v>8.3000000000000007</v>
      </c>
      <c r="H39" s="33">
        <v>66.400000000000006</v>
      </c>
    </row>
    <row r="40" spans="1:8" ht="15">
      <c r="A40" s="31" t="s">
        <v>144</v>
      </c>
      <c r="B40" s="31" t="s">
        <v>178</v>
      </c>
      <c r="C40" s="32">
        <v>900</v>
      </c>
      <c r="D40" s="31">
        <v>85</v>
      </c>
      <c r="E40" s="32">
        <v>735</v>
      </c>
      <c r="F40" s="32">
        <v>15</v>
      </c>
      <c r="G40" s="33">
        <v>5.0999999999999996</v>
      </c>
      <c r="H40" s="33">
        <v>76.5</v>
      </c>
    </row>
    <row r="41" spans="1:8" ht="15">
      <c r="A41" s="31" t="s">
        <v>144</v>
      </c>
      <c r="B41" s="31" t="s">
        <v>179</v>
      </c>
      <c r="C41" s="32">
        <v>414</v>
      </c>
      <c r="D41" s="31">
        <v>85</v>
      </c>
      <c r="E41" s="32">
        <v>332</v>
      </c>
      <c r="F41" s="32">
        <v>4</v>
      </c>
      <c r="G41" s="33">
        <v>6.1</v>
      </c>
      <c r="H41" s="33">
        <v>24.4</v>
      </c>
    </row>
    <row r="42" spans="1:8" ht="15">
      <c r="A42" s="31" t="s">
        <v>144</v>
      </c>
      <c r="B42" s="31" t="s">
        <v>180</v>
      </c>
      <c r="C42" s="32">
        <v>257</v>
      </c>
      <c r="D42" s="31">
        <v>85</v>
      </c>
      <c r="E42" s="32">
        <v>184</v>
      </c>
      <c r="F42" s="32">
        <v>7</v>
      </c>
      <c r="G42" s="33">
        <v>2.8</v>
      </c>
      <c r="H42" s="33">
        <v>19.600000000000001</v>
      </c>
    </row>
    <row r="43" spans="1:8" ht="15">
      <c r="A43" s="31" t="s">
        <v>144</v>
      </c>
      <c r="B43" s="31" t="s">
        <v>181</v>
      </c>
      <c r="C43" s="32">
        <v>633</v>
      </c>
      <c r="D43" s="31">
        <v>85</v>
      </c>
      <c r="E43" s="32">
        <v>467</v>
      </c>
      <c r="F43" s="32">
        <v>4</v>
      </c>
      <c r="G43" s="33">
        <v>6.9</v>
      </c>
      <c r="H43" s="33">
        <v>27.6</v>
      </c>
    </row>
    <row r="44" spans="1:8" ht="30">
      <c r="A44" s="31" t="s">
        <v>144</v>
      </c>
      <c r="B44" s="31" t="s">
        <v>182</v>
      </c>
      <c r="C44" s="32">
        <v>3249</v>
      </c>
      <c r="D44" s="31">
        <v>85</v>
      </c>
      <c r="E44" s="32">
        <v>2734</v>
      </c>
      <c r="F44" s="32">
        <v>113</v>
      </c>
      <c r="G44" s="33">
        <v>6.7</v>
      </c>
      <c r="H44" s="33">
        <v>757.1</v>
      </c>
    </row>
    <row r="45" spans="1:8" ht="30">
      <c r="A45" s="31" t="s">
        <v>144</v>
      </c>
      <c r="B45" s="31" t="s">
        <v>183</v>
      </c>
      <c r="C45" s="32">
        <v>1514</v>
      </c>
      <c r="D45" s="31">
        <v>85</v>
      </c>
      <c r="E45" s="32">
        <v>1236</v>
      </c>
      <c r="F45" s="32">
        <v>41</v>
      </c>
      <c r="G45" s="33">
        <v>3.9</v>
      </c>
      <c r="H45" s="33">
        <v>159.9</v>
      </c>
    </row>
    <row r="46" spans="1:8" ht="30">
      <c r="A46" s="31" t="s">
        <v>144</v>
      </c>
      <c r="B46" s="31" t="s">
        <v>184</v>
      </c>
      <c r="C46" s="32">
        <v>3978</v>
      </c>
      <c r="D46" s="31">
        <v>85</v>
      </c>
      <c r="E46" s="32">
        <v>2807</v>
      </c>
      <c r="F46" s="32">
        <v>38</v>
      </c>
      <c r="G46" s="33">
        <v>19.3</v>
      </c>
      <c r="H46" s="33">
        <v>733.4</v>
      </c>
    </row>
    <row r="47" spans="1:8" ht="30">
      <c r="A47" s="31" t="s">
        <v>144</v>
      </c>
      <c r="B47" s="31" t="s">
        <v>185</v>
      </c>
      <c r="C47" s="32">
        <v>1302</v>
      </c>
      <c r="D47" s="31">
        <v>85</v>
      </c>
      <c r="E47" s="32">
        <v>914</v>
      </c>
      <c r="F47" s="32">
        <v>23</v>
      </c>
      <c r="G47" s="33">
        <v>9.6999999999999993</v>
      </c>
      <c r="H47" s="33">
        <v>223.1</v>
      </c>
    </row>
    <row r="48" spans="1:8" ht="30">
      <c r="A48" s="31" t="s">
        <v>144</v>
      </c>
      <c r="B48" s="31" t="s">
        <v>186</v>
      </c>
      <c r="C48" s="32">
        <v>780</v>
      </c>
      <c r="D48" s="31">
        <v>85</v>
      </c>
      <c r="E48" s="32">
        <v>642</v>
      </c>
      <c r="F48" s="32">
        <v>10</v>
      </c>
      <c r="G48" s="33">
        <v>9.1</v>
      </c>
      <c r="H48" s="33">
        <v>91</v>
      </c>
    </row>
    <row r="49" spans="1:8" ht="30">
      <c r="A49" s="31" t="s">
        <v>144</v>
      </c>
      <c r="B49" s="31" t="s">
        <v>187</v>
      </c>
      <c r="C49" s="32">
        <v>1654</v>
      </c>
      <c r="D49" s="31">
        <v>85</v>
      </c>
      <c r="E49" s="32">
        <v>1000</v>
      </c>
      <c r="F49" s="32">
        <v>21</v>
      </c>
      <c r="G49" s="33">
        <v>6.7</v>
      </c>
      <c r="H49" s="33">
        <v>140.69999999999999</v>
      </c>
    </row>
    <row r="50" spans="1:8" ht="30">
      <c r="A50" s="31" t="s">
        <v>144</v>
      </c>
      <c r="B50" s="31" t="s">
        <v>188</v>
      </c>
      <c r="C50" s="32">
        <v>439</v>
      </c>
      <c r="D50" s="31">
        <v>85</v>
      </c>
      <c r="E50" s="32">
        <v>374</v>
      </c>
      <c r="F50" s="32">
        <v>12</v>
      </c>
      <c r="G50" s="33">
        <v>6.1</v>
      </c>
      <c r="H50" s="33">
        <v>73.2</v>
      </c>
    </row>
    <row r="51" spans="1:8" ht="30">
      <c r="A51" s="31" t="s">
        <v>144</v>
      </c>
      <c r="B51" s="31" t="s">
        <v>189</v>
      </c>
      <c r="C51" s="32">
        <v>1211</v>
      </c>
      <c r="D51" s="31">
        <v>85</v>
      </c>
      <c r="E51" s="32">
        <v>110</v>
      </c>
      <c r="F51" s="32">
        <v>6</v>
      </c>
      <c r="G51" s="33">
        <v>6.3</v>
      </c>
      <c r="H51" s="33">
        <v>37.799999999999997</v>
      </c>
    </row>
    <row r="52" spans="1:8" ht="30">
      <c r="A52" s="31" t="s">
        <v>144</v>
      </c>
      <c r="B52" s="31" t="s">
        <v>190</v>
      </c>
      <c r="C52" s="32">
        <v>917</v>
      </c>
      <c r="D52" s="31">
        <v>85</v>
      </c>
      <c r="E52" s="32">
        <v>774</v>
      </c>
      <c r="F52" s="32">
        <v>12</v>
      </c>
      <c r="G52" s="33">
        <v>8.4</v>
      </c>
      <c r="H52" s="33">
        <v>100.8</v>
      </c>
    </row>
    <row r="53" spans="1:8" ht="30">
      <c r="A53" s="31" t="s">
        <v>144</v>
      </c>
      <c r="B53" s="31" t="s">
        <v>191</v>
      </c>
      <c r="C53" s="32">
        <v>4180</v>
      </c>
      <c r="D53" s="31">
        <v>85</v>
      </c>
      <c r="E53" s="32">
        <v>3224</v>
      </c>
      <c r="F53" s="32">
        <v>57</v>
      </c>
      <c r="G53" s="33">
        <v>15.9</v>
      </c>
      <c r="H53" s="33">
        <v>906.3</v>
      </c>
    </row>
    <row r="54" spans="1:8" ht="30">
      <c r="A54" s="31" t="s">
        <v>144</v>
      </c>
      <c r="B54" s="31" t="s">
        <v>192</v>
      </c>
      <c r="C54" s="32">
        <v>11121</v>
      </c>
      <c r="D54" s="31">
        <v>85</v>
      </c>
      <c r="E54" s="32">
        <v>5898</v>
      </c>
      <c r="F54" s="32">
        <v>484</v>
      </c>
      <c r="G54" s="33">
        <v>12.9</v>
      </c>
      <c r="H54" s="33">
        <v>6243.6</v>
      </c>
    </row>
    <row r="55" spans="1:8" ht="30">
      <c r="A55" s="31" t="s">
        <v>144</v>
      </c>
      <c r="B55" s="31" t="s">
        <v>193</v>
      </c>
      <c r="C55" s="32">
        <v>3278</v>
      </c>
      <c r="D55" s="31">
        <v>85</v>
      </c>
      <c r="E55" s="32">
        <v>2691</v>
      </c>
      <c r="F55" s="32">
        <v>66</v>
      </c>
      <c r="G55" s="33">
        <v>5.9</v>
      </c>
      <c r="H55" s="33">
        <v>389.4</v>
      </c>
    </row>
    <row r="56" spans="1:8" ht="30">
      <c r="A56" s="31" t="s">
        <v>144</v>
      </c>
      <c r="B56" s="31" t="s">
        <v>194</v>
      </c>
      <c r="C56" s="32">
        <v>1769</v>
      </c>
      <c r="D56" s="31">
        <v>85</v>
      </c>
      <c r="E56" s="32">
        <v>1011</v>
      </c>
      <c r="F56" s="32">
        <v>50</v>
      </c>
      <c r="G56" s="33">
        <v>7</v>
      </c>
      <c r="H56" s="33">
        <v>350</v>
      </c>
    </row>
    <row r="57" spans="1:8" ht="30">
      <c r="A57" s="31" t="s">
        <v>144</v>
      </c>
      <c r="B57" s="31" t="s">
        <v>195</v>
      </c>
      <c r="C57" s="32">
        <v>1017</v>
      </c>
      <c r="D57" s="31">
        <v>85</v>
      </c>
      <c r="E57" s="32">
        <v>874</v>
      </c>
      <c r="F57" s="32">
        <v>41</v>
      </c>
      <c r="G57" s="33">
        <v>5.4</v>
      </c>
      <c r="H57" s="33">
        <v>221.4</v>
      </c>
    </row>
    <row r="58" spans="1:8" ht="30">
      <c r="A58" s="31" t="s">
        <v>144</v>
      </c>
      <c r="B58" s="31" t="s">
        <v>196</v>
      </c>
      <c r="C58" s="32">
        <v>4503</v>
      </c>
      <c r="D58" s="31">
        <v>85</v>
      </c>
      <c r="E58" s="32">
        <v>3569</v>
      </c>
      <c r="F58" s="32">
        <v>108</v>
      </c>
      <c r="G58" s="33">
        <v>4.3</v>
      </c>
      <c r="H58" s="33">
        <v>464.4</v>
      </c>
    </row>
    <row r="59" spans="1:8" ht="30">
      <c r="A59" s="31" t="s">
        <v>144</v>
      </c>
      <c r="B59" s="31" t="s">
        <v>197</v>
      </c>
      <c r="C59" s="32">
        <v>5751</v>
      </c>
      <c r="D59" s="31">
        <v>85</v>
      </c>
      <c r="E59" s="32">
        <v>610</v>
      </c>
      <c r="F59" s="32">
        <v>19</v>
      </c>
      <c r="G59" s="33">
        <v>6.2</v>
      </c>
      <c r="H59" s="33">
        <v>117.8</v>
      </c>
    </row>
    <row r="60" spans="1:8" ht="30">
      <c r="A60" s="31" t="s">
        <v>144</v>
      </c>
      <c r="B60" s="31" t="s">
        <v>198</v>
      </c>
      <c r="C60" s="32">
        <v>4591</v>
      </c>
      <c r="D60" s="31">
        <v>85</v>
      </c>
      <c r="E60" s="32">
        <v>3801</v>
      </c>
      <c r="F60" s="32">
        <v>154</v>
      </c>
      <c r="G60" s="33">
        <v>5.3</v>
      </c>
      <c r="H60" s="33">
        <v>816.2</v>
      </c>
    </row>
    <row r="61" spans="1:8" ht="45">
      <c r="A61" s="31" t="s">
        <v>144</v>
      </c>
      <c r="B61" s="31" t="s">
        <v>199</v>
      </c>
      <c r="C61" s="32">
        <v>1494</v>
      </c>
      <c r="D61" s="31">
        <v>85</v>
      </c>
      <c r="E61" s="32">
        <v>1232</v>
      </c>
      <c r="F61" s="32">
        <v>50</v>
      </c>
      <c r="G61" s="33">
        <v>4.7</v>
      </c>
      <c r="H61" s="33">
        <v>235</v>
      </c>
    </row>
    <row r="62" spans="1:8" ht="30">
      <c r="A62" s="31" t="s">
        <v>144</v>
      </c>
      <c r="B62" s="31" t="s">
        <v>200</v>
      </c>
      <c r="C62" s="32">
        <v>3012</v>
      </c>
      <c r="D62" s="31">
        <v>85</v>
      </c>
      <c r="E62" s="32">
        <v>2462</v>
      </c>
      <c r="F62" s="32">
        <v>33</v>
      </c>
      <c r="G62" s="33">
        <v>17.899999999999999</v>
      </c>
      <c r="H62" s="33">
        <v>590.70000000000005</v>
      </c>
    </row>
    <row r="63" spans="1:8" ht="30">
      <c r="A63" s="31" t="s">
        <v>144</v>
      </c>
      <c r="B63" s="31" t="s">
        <v>201</v>
      </c>
      <c r="C63" s="32">
        <v>5074</v>
      </c>
      <c r="D63" s="31">
        <v>85</v>
      </c>
      <c r="E63" s="32">
        <v>382</v>
      </c>
      <c r="F63" s="32">
        <v>13</v>
      </c>
      <c r="G63" s="33">
        <v>4</v>
      </c>
      <c r="H63" s="33">
        <v>52</v>
      </c>
    </row>
    <row r="64" spans="1:8" ht="30">
      <c r="A64" s="31" t="s">
        <v>144</v>
      </c>
      <c r="B64" s="31" t="s">
        <v>202</v>
      </c>
      <c r="C64" s="32">
        <v>956</v>
      </c>
      <c r="D64" s="31">
        <v>85</v>
      </c>
      <c r="E64" s="32">
        <v>754</v>
      </c>
      <c r="F64" s="32">
        <v>17</v>
      </c>
      <c r="G64" s="33">
        <v>7.5</v>
      </c>
      <c r="H64" s="33">
        <v>127.5</v>
      </c>
    </row>
    <row r="65" spans="1:8" ht="30">
      <c r="A65" s="31" t="s">
        <v>144</v>
      </c>
      <c r="B65" s="31" t="s">
        <v>203</v>
      </c>
      <c r="C65" s="32">
        <v>3198</v>
      </c>
      <c r="D65" s="31">
        <v>85</v>
      </c>
      <c r="E65" s="32">
        <v>2712</v>
      </c>
      <c r="F65" s="32">
        <v>92</v>
      </c>
      <c r="G65" s="33">
        <v>7.2</v>
      </c>
      <c r="H65" s="33">
        <v>662.4</v>
      </c>
    </row>
    <row r="66" spans="1:8" ht="30">
      <c r="A66" s="31" t="s">
        <v>144</v>
      </c>
      <c r="B66" s="31" t="s">
        <v>204</v>
      </c>
      <c r="C66" s="32">
        <v>2557</v>
      </c>
      <c r="D66" s="31">
        <v>85</v>
      </c>
      <c r="E66" s="32">
        <v>2249</v>
      </c>
      <c r="F66" s="32">
        <v>52</v>
      </c>
      <c r="G66" s="33">
        <v>7.1</v>
      </c>
      <c r="H66" s="33">
        <v>369.2</v>
      </c>
    </row>
    <row r="67" spans="1:8" ht="30">
      <c r="A67" s="31" t="s">
        <v>144</v>
      </c>
      <c r="B67" s="31" t="s">
        <v>205</v>
      </c>
      <c r="C67" s="32">
        <v>4034</v>
      </c>
      <c r="D67" s="31">
        <v>85</v>
      </c>
      <c r="E67" s="32">
        <v>3085</v>
      </c>
      <c r="F67" s="32">
        <v>95</v>
      </c>
      <c r="G67" s="33">
        <v>4.0999999999999996</v>
      </c>
      <c r="H67" s="33">
        <v>389.5</v>
      </c>
    </row>
    <row r="68" spans="1:8" ht="30">
      <c r="A68" s="31" t="s">
        <v>144</v>
      </c>
      <c r="B68" s="31" t="s">
        <v>206</v>
      </c>
      <c r="C68" s="32">
        <v>2276</v>
      </c>
      <c r="D68" s="31">
        <v>85</v>
      </c>
      <c r="E68" s="32">
        <v>629</v>
      </c>
      <c r="F68" s="32">
        <v>20</v>
      </c>
      <c r="G68" s="33">
        <v>4.5</v>
      </c>
      <c r="H68" s="33">
        <v>90</v>
      </c>
    </row>
    <row r="69" spans="1:8" ht="30">
      <c r="A69" s="31" t="s">
        <v>144</v>
      </c>
      <c r="B69" s="31" t="s">
        <v>207</v>
      </c>
      <c r="C69" s="32">
        <v>1230</v>
      </c>
      <c r="D69" s="31">
        <v>85</v>
      </c>
      <c r="E69" s="32">
        <v>1001</v>
      </c>
      <c r="F69" s="32">
        <v>33</v>
      </c>
      <c r="G69" s="33">
        <v>5.4</v>
      </c>
      <c r="H69" s="33">
        <v>178.2</v>
      </c>
    </row>
    <row r="70" spans="1:8" ht="30">
      <c r="A70" s="31" t="s">
        <v>144</v>
      </c>
      <c r="B70" s="31" t="s">
        <v>208</v>
      </c>
      <c r="C70" s="32">
        <v>2872</v>
      </c>
      <c r="D70" s="31">
        <v>85</v>
      </c>
      <c r="E70" s="32">
        <v>2185</v>
      </c>
      <c r="F70" s="32">
        <v>60</v>
      </c>
      <c r="G70" s="33">
        <v>4.2</v>
      </c>
      <c r="H70" s="33">
        <v>252</v>
      </c>
    </row>
    <row r="71" spans="1:8" ht="30">
      <c r="A71" s="31" t="s">
        <v>144</v>
      </c>
      <c r="B71" s="31" t="s">
        <v>209</v>
      </c>
      <c r="C71" s="32">
        <v>3466</v>
      </c>
      <c r="D71" s="31">
        <v>85</v>
      </c>
      <c r="E71" s="32">
        <v>1092</v>
      </c>
      <c r="F71" s="32">
        <v>34</v>
      </c>
      <c r="G71" s="33">
        <v>11</v>
      </c>
      <c r="H71" s="33">
        <v>374</v>
      </c>
    </row>
    <row r="72" spans="1:8" ht="45">
      <c r="A72" s="31" t="s">
        <v>144</v>
      </c>
      <c r="B72" s="31" t="s">
        <v>210</v>
      </c>
      <c r="C72" s="32">
        <v>365</v>
      </c>
      <c r="D72" s="31">
        <v>85</v>
      </c>
      <c r="E72" s="32">
        <v>90</v>
      </c>
      <c r="F72" s="32">
        <v>5</v>
      </c>
      <c r="G72" s="33">
        <v>6.5</v>
      </c>
      <c r="H72" s="33">
        <v>32.5</v>
      </c>
    </row>
    <row r="73" spans="1:8" ht="30">
      <c r="A73" s="31" t="s">
        <v>144</v>
      </c>
      <c r="B73" s="31" t="s">
        <v>211</v>
      </c>
      <c r="C73" s="32">
        <v>1940</v>
      </c>
      <c r="D73" s="31">
        <v>85</v>
      </c>
      <c r="E73" s="32">
        <v>1569</v>
      </c>
      <c r="F73" s="32">
        <v>24</v>
      </c>
      <c r="G73" s="33">
        <v>5.6</v>
      </c>
      <c r="H73" s="33">
        <v>134.4</v>
      </c>
    </row>
    <row r="74" spans="1:8" ht="30">
      <c r="A74" s="31" t="s">
        <v>144</v>
      </c>
      <c r="B74" s="31" t="s">
        <v>212</v>
      </c>
      <c r="C74" s="32">
        <v>1537</v>
      </c>
      <c r="D74" s="31">
        <v>85</v>
      </c>
      <c r="E74" s="32">
        <v>1128</v>
      </c>
      <c r="F74" s="32">
        <v>21</v>
      </c>
      <c r="G74" s="33">
        <v>4.7</v>
      </c>
      <c r="H74" s="33">
        <v>98.7</v>
      </c>
    </row>
    <row r="75" spans="1:8" ht="30">
      <c r="A75" s="31" t="s">
        <v>145</v>
      </c>
      <c r="B75" s="31" t="s">
        <v>128</v>
      </c>
      <c r="C75" s="32">
        <v>326</v>
      </c>
      <c r="D75" s="31">
        <v>85</v>
      </c>
      <c r="E75" s="32">
        <v>74</v>
      </c>
      <c r="F75" s="32">
        <v>3</v>
      </c>
      <c r="G75" s="33">
        <v>3.6</v>
      </c>
      <c r="H75" s="33">
        <v>10.8</v>
      </c>
    </row>
    <row r="76" spans="1:8" ht="30">
      <c r="A76" s="31" t="s">
        <v>145</v>
      </c>
      <c r="B76" s="31" t="s">
        <v>213</v>
      </c>
      <c r="C76" s="32">
        <v>2522</v>
      </c>
      <c r="D76" s="31">
        <v>85</v>
      </c>
      <c r="E76" s="32">
        <v>222</v>
      </c>
      <c r="F76" s="32">
        <v>17</v>
      </c>
      <c r="G76" s="33">
        <v>12.9</v>
      </c>
      <c r="H76" s="33">
        <v>219.3</v>
      </c>
    </row>
    <row r="77" spans="1:8" ht="30">
      <c r="A77" s="31" t="s">
        <v>145</v>
      </c>
      <c r="B77" s="31" t="s">
        <v>214</v>
      </c>
      <c r="C77" s="32">
        <v>440</v>
      </c>
      <c r="D77" s="31">
        <v>85</v>
      </c>
      <c r="E77" s="32">
        <v>329</v>
      </c>
      <c r="F77" s="32">
        <v>8</v>
      </c>
      <c r="G77" s="33">
        <v>12</v>
      </c>
      <c r="H77" s="33">
        <v>96</v>
      </c>
    </row>
    <row r="78" spans="1:8" ht="30">
      <c r="A78" s="31" t="s">
        <v>145</v>
      </c>
      <c r="B78" s="31" t="s">
        <v>215</v>
      </c>
      <c r="C78" s="32">
        <v>231</v>
      </c>
      <c r="D78" s="31">
        <v>85</v>
      </c>
      <c r="E78" s="32">
        <v>17</v>
      </c>
      <c r="F78" s="32">
        <v>2</v>
      </c>
      <c r="G78" s="33">
        <v>0.2</v>
      </c>
      <c r="H78" s="33">
        <v>0.4</v>
      </c>
    </row>
    <row r="79" spans="1:8" ht="30">
      <c r="A79" s="31" t="s">
        <v>145</v>
      </c>
      <c r="B79" s="31" t="s">
        <v>216</v>
      </c>
      <c r="C79" s="32">
        <v>568</v>
      </c>
      <c r="D79" s="31">
        <v>85</v>
      </c>
      <c r="E79" s="32">
        <v>517</v>
      </c>
      <c r="F79" s="32">
        <v>13</v>
      </c>
      <c r="G79" s="33">
        <v>5</v>
      </c>
      <c r="H79" s="33">
        <v>65</v>
      </c>
    </row>
    <row r="80" spans="1:8" ht="30">
      <c r="A80" s="31" t="s">
        <v>145</v>
      </c>
      <c r="B80" s="31" t="s">
        <v>217</v>
      </c>
      <c r="C80" s="32">
        <v>458</v>
      </c>
      <c r="D80" s="31">
        <v>85</v>
      </c>
      <c r="E80" s="32">
        <v>357</v>
      </c>
      <c r="F80" s="32">
        <v>13</v>
      </c>
      <c r="G80" s="33">
        <v>2.9</v>
      </c>
      <c r="H80" s="33">
        <v>37.700000000000003</v>
      </c>
    </row>
    <row r="81" spans="1:8" ht="15">
      <c r="A81" s="31" t="s">
        <v>145</v>
      </c>
      <c r="B81" s="31" t="s">
        <v>218</v>
      </c>
      <c r="C81" s="32">
        <v>785</v>
      </c>
      <c r="D81" s="31">
        <v>85</v>
      </c>
      <c r="E81" s="32">
        <v>630</v>
      </c>
      <c r="F81" s="32">
        <v>6</v>
      </c>
      <c r="G81" s="33">
        <v>8.1</v>
      </c>
      <c r="H81" s="33">
        <v>48.6</v>
      </c>
    </row>
    <row r="82" spans="1:8" ht="30">
      <c r="A82" s="31" t="s">
        <v>145</v>
      </c>
      <c r="B82" s="31" t="s">
        <v>219</v>
      </c>
      <c r="C82" s="32">
        <v>504</v>
      </c>
      <c r="D82" s="31">
        <v>85</v>
      </c>
      <c r="E82" s="32">
        <v>437</v>
      </c>
      <c r="F82" s="32">
        <v>11</v>
      </c>
      <c r="G82" s="33">
        <v>4.9000000000000004</v>
      </c>
      <c r="H82" s="33">
        <v>53.9</v>
      </c>
    </row>
    <row r="83" spans="1:8" ht="15">
      <c r="A83" s="31" t="s">
        <v>145</v>
      </c>
      <c r="B83" s="31" t="s">
        <v>220</v>
      </c>
      <c r="C83" s="32">
        <v>2370</v>
      </c>
      <c r="D83" s="31">
        <v>85</v>
      </c>
      <c r="E83" s="32">
        <v>2012</v>
      </c>
      <c r="F83" s="32">
        <v>13</v>
      </c>
      <c r="G83" s="33">
        <v>13.9</v>
      </c>
      <c r="H83" s="33">
        <v>180.7</v>
      </c>
    </row>
    <row r="84" spans="1:8" ht="15">
      <c r="A84" s="31" t="s">
        <v>145</v>
      </c>
      <c r="B84" s="31" t="s">
        <v>221</v>
      </c>
      <c r="C84" s="32">
        <v>1641</v>
      </c>
      <c r="D84" s="31">
        <v>85</v>
      </c>
      <c r="E84" s="32">
        <v>1265</v>
      </c>
      <c r="F84" s="32">
        <v>24</v>
      </c>
      <c r="G84" s="33">
        <v>2.9</v>
      </c>
      <c r="H84" s="33">
        <v>69.599999999999994</v>
      </c>
    </row>
    <row r="85" spans="1:8" ht="15">
      <c r="A85" s="31" t="s">
        <v>145</v>
      </c>
      <c r="B85" s="31" t="s">
        <v>222</v>
      </c>
      <c r="C85" s="32">
        <v>1572</v>
      </c>
      <c r="D85" s="31">
        <v>85</v>
      </c>
      <c r="E85" s="32">
        <v>1273</v>
      </c>
      <c r="F85" s="32">
        <v>17</v>
      </c>
      <c r="G85" s="33">
        <v>4.8</v>
      </c>
      <c r="H85" s="33">
        <v>81.599999999999994</v>
      </c>
    </row>
    <row r="86" spans="1:8" ht="15">
      <c r="A86" s="31" t="s">
        <v>145</v>
      </c>
      <c r="B86" s="31" t="s">
        <v>223</v>
      </c>
      <c r="C86" s="32">
        <v>309</v>
      </c>
      <c r="D86" s="31">
        <v>85</v>
      </c>
      <c r="E86" s="32">
        <v>237</v>
      </c>
      <c r="F86" s="32">
        <v>3</v>
      </c>
      <c r="G86" s="33">
        <v>3.7</v>
      </c>
      <c r="H86" s="33">
        <v>11.1</v>
      </c>
    </row>
    <row r="87" spans="1:8" ht="15">
      <c r="A87" s="31" t="s">
        <v>145</v>
      </c>
      <c r="B87" s="31" t="s">
        <v>224</v>
      </c>
      <c r="C87" s="32">
        <v>17289</v>
      </c>
      <c r="D87" s="31">
        <v>85</v>
      </c>
      <c r="E87" s="32">
        <v>14305</v>
      </c>
      <c r="F87" s="32">
        <v>423</v>
      </c>
      <c r="G87" s="33">
        <v>3.6</v>
      </c>
      <c r="H87" s="33">
        <v>1522.8</v>
      </c>
    </row>
    <row r="88" spans="1:8" ht="30">
      <c r="A88" s="31" t="s">
        <v>145</v>
      </c>
      <c r="B88" s="31" t="s">
        <v>225</v>
      </c>
      <c r="C88" s="32">
        <v>1079</v>
      </c>
      <c r="D88" s="31">
        <v>85</v>
      </c>
      <c r="E88" s="32">
        <v>900</v>
      </c>
      <c r="F88" s="32">
        <v>15</v>
      </c>
      <c r="G88" s="33">
        <v>7.4</v>
      </c>
      <c r="H88" s="33">
        <v>111</v>
      </c>
    </row>
    <row r="89" spans="1:8" ht="15">
      <c r="A89" s="31" t="s">
        <v>145</v>
      </c>
      <c r="B89" s="31" t="s">
        <v>226</v>
      </c>
      <c r="C89" s="32">
        <v>3512</v>
      </c>
      <c r="D89" s="31">
        <v>85</v>
      </c>
      <c r="E89" s="32">
        <v>2960</v>
      </c>
      <c r="F89" s="32">
        <v>40</v>
      </c>
      <c r="G89" s="33">
        <v>6.3</v>
      </c>
      <c r="H89" s="33">
        <v>252</v>
      </c>
    </row>
    <row r="90" spans="1:8" ht="30">
      <c r="A90" s="31" t="s">
        <v>145</v>
      </c>
      <c r="B90" s="31" t="s">
        <v>227</v>
      </c>
      <c r="C90" s="32">
        <v>1064</v>
      </c>
      <c r="D90" s="31">
        <v>85</v>
      </c>
      <c r="E90" s="32">
        <v>822</v>
      </c>
      <c r="F90" s="32">
        <v>13</v>
      </c>
      <c r="G90" s="33">
        <v>30.8</v>
      </c>
      <c r="H90" s="33">
        <v>400.4</v>
      </c>
    </row>
    <row r="91" spans="1:8" ht="15">
      <c r="A91" s="31" t="s">
        <v>145</v>
      </c>
      <c r="B91" s="31" t="s">
        <v>228</v>
      </c>
      <c r="C91" s="32">
        <v>437</v>
      </c>
      <c r="D91" s="31">
        <v>85</v>
      </c>
      <c r="E91" s="32">
        <v>375</v>
      </c>
      <c r="F91" s="32">
        <v>4</v>
      </c>
      <c r="G91" s="33">
        <v>4</v>
      </c>
      <c r="H91" s="33">
        <v>16</v>
      </c>
    </row>
    <row r="92" spans="1:8" ht="15">
      <c r="A92" s="31" t="s">
        <v>145</v>
      </c>
      <c r="B92" s="31" t="s">
        <v>229</v>
      </c>
      <c r="C92" s="32">
        <v>5426</v>
      </c>
      <c r="D92" s="31">
        <v>85</v>
      </c>
      <c r="E92" s="32">
        <v>4624</v>
      </c>
      <c r="F92" s="32">
        <v>77</v>
      </c>
      <c r="G92" s="33">
        <v>6.1</v>
      </c>
      <c r="H92" s="33">
        <v>469.7</v>
      </c>
    </row>
    <row r="93" spans="1:8" ht="30">
      <c r="A93" s="31" t="s">
        <v>145</v>
      </c>
      <c r="B93" s="31" t="s">
        <v>230</v>
      </c>
      <c r="C93" s="32">
        <v>201</v>
      </c>
      <c r="D93" s="31">
        <v>85</v>
      </c>
      <c r="E93" s="32">
        <v>168</v>
      </c>
      <c r="F93" s="32">
        <v>3</v>
      </c>
      <c r="G93" s="33">
        <v>4</v>
      </c>
      <c r="H93" s="33">
        <v>12</v>
      </c>
    </row>
    <row r="94" spans="1:8" ht="30">
      <c r="A94" s="31" t="s">
        <v>145</v>
      </c>
      <c r="B94" s="31" t="s">
        <v>231</v>
      </c>
      <c r="C94" s="32">
        <v>922</v>
      </c>
      <c r="D94" s="31">
        <v>85</v>
      </c>
      <c r="E94" s="32">
        <v>776</v>
      </c>
      <c r="F94" s="32">
        <v>13</v>
      </c>
      <c r="G94" s="33">
        <v>5.0999999999999996</v>
      </c>
      <c r="H94" s="33">
        <v>66.3</v>
      </c>
    </row>
    <row r="95" spans="1:8" ht="15">
      <c r="A95" s="31" t="s">
        <v>145</v>
      </c>
      <c r="B95" s="31" t="s">
        <v>232</v>
      </c>
      <c r="C95" s="32">
        <v>80261</v>
      </c>
      <c r="D95" s="31">
        <v>85</v>
      </c>
      <c r="E95" s="32">
        <v>53592</v>
      </c>
      <c r="F95" s="32">
        <v>776</v>
      </c>
      <c r="G95" s="33">
        <v>9.6</v>
      </c>
      <c r="H95" s="33">
        <v>7449.6</v>
      </c>
    </row>
    <row r="96" spans="1:8" ht="30">
      <c r="A96" s="31" t="s">
        <v>145</v>
      </c>
      <c r="B96" s="31" t="s">
        <v>233</v>
      </c>
      <c r="C96" s="32">
        <v>533</v>
      </c>
      <c r="D96" s="31">
        <v>85</v>
      </c>
      <c r="E96" s="32">
        <v>424</v>
      </c>
      <c r="F96" s="32">
        <v>12</v>
      </c>
      <c r="G96" s="33">
        <v>3.8</v>
      </c>
      <c r="H96" s="33">
        <v>45.6</v>
      </c>
    </row>
    <row r="97" spans="1:8" ht="30">
      <c r="A97" s="31" t="s">
        <v>145</v>
      </c>
      <c r="B97" s="31" t="s">
        <v>234</v>
      </c>
      <c r="C97" s="32">
        <v>253</v>
      </c>
      <c r="D97" s="31">
        <v>85</v>
      </c>
      <c r="E97" s="32">
        <v>232</v>
      </c>
      <c r="F97" s="32">
        <v>7</v>
      </c>
      <c r="G97" s="33">
        <v>11.8</v>
      </c>
      <c r="H97" s="33">
        <v>82.6</v>
      </c>
    </row>
    <row r="98" spans="1:8" ht="30">
      <c r="A98" s="31" t="s">
        <v>145</v>
      </c>
      <c r="B98" s="31" t="s">
        <v>235</v>
      </c>
      <c r="C98" s="32">
        <v>619</v>
      </c>
      <c r="D98" s="31">
        <v>85</v>
      </c>
      <c r="E98" s="32">
        <v>48</v>
      </c>
      <c r="F98" s="32">
        <v>2</v>
      </c>
      <c r="G98" s="33">
        <v>1.5</v>
      </c>
      <c r="H98" s="33">
        <v>3</v>
      </c>
    </row>
    <row r="99" spans="1:8" ht="30">
      <c r="A99" s="31" t="s">
        <v>145</v>
      </c>
      <c r="B99" s="31" t="s">
        <v>236</v>
      </c>
      <c r="C99" s="32">
        <v>718</v>
      </c>
      <c r="D99" s="31">
        <v>85</v>
      </c>
      <c r="E99" s="32">
        <v>620</v>
      </c>
      <c r="F99" s="32">
        <v>11</v>
      </c>
      <c r="G99" s="33">
        <v>3.8</v>
      </c>
      <c r="H99" s="33">
        <v>41.8</v>
      </c>
    </row>
    <row r="100" spans="1:8" ht="30">
      <c r="A100" s="31" t="s">
        <v>145</v>
      </c>
      <c r="B100" s="31" t="s">
        <v>237</v>
      </c>
      <c r="C100" s="32">
        <v>2174</v>
      </c>
      <c r="D100" s="31">
        <v>85</v>
      </c>
      <c r="E100" s="32">
        <v>1234</v>
      </c>
      <c r="F100" s="32">
        <v>108</v>
      </c>
      <c r="G100" s="33">
        <v>12.5</v>
      </c>
      <c r="H100" s="33">
        <v>1350</v>
      </c>
    </row>
    <row r="101" spans="1:8" ht="30">
      <c r="A101" s="31" t="s">
        <v>145</v>
      </c>
      <c r="B101" s="31" t="s">
        <v>238</v>
      </c>
      <c r="C101" s="32">
        <v>593</v>
      </c>
      <c r="D101" s="31">
        <v>85</v>
      </c>
      <c r="E101" s="32">
        <v>495</v>
      </c>
      <c r="F101" s="32">
        <v>57</v>
      </c>
      <c r="G101" s="33">
        <v>12.8</v>
      </c>
      <c r="H101" s="33">
        <v>729.6</v>
      </c>
    </row>
    <row r="102" spans="1:8" ht="30">
      <c r="A102" s="31" t="s">
        <v>145</v>
      </c>
      <c r="B102" s="31" t="s">
        <v>239</v>
      </c>
      <c r="C102" s="32">
        <v>593</v>
      </c>
      <c r="D102" s="31">
        <v>85</v>
      </c>
      <c r="E102" s="32">
        <v>505</v>
      </c>
      <c r="F102" s="32">
        <v>18</v>
      </c>
      <c r="G102" s="33">
        <v>6.6</v>
      </c>
      <c r="H102" s="33">
        <v>118.8</v>
      </c>
    </row>
    <row r="103" spans="1:8" ht="30">
      <c r="A103" s="31" t="s">
        <v>145</v>
      </c>
      <c r="B103" s="31" t="s">
        <v>240</v>
      </c>
      <c r="C103" s="32">
        <v>732</v>
      </c>
      <c r="D103" s="31">
        <v>85</v>
      </c>
      <c r="E103" s="32">
        <v>639</v>
      </c>
      <c r="F103" s="32">
        <v>29</v>
      </c>
      <c r="G103" s="33">
        <v>5.8</v>
      </c>
      <c r="H103" s="33">
        <v>168.2</v>
      </c>
    </row>
    <row r="104" spans="1:8" ht="30">
      <c r="A104" s="31" t="s">
        <v>145</v>
      </c>
      <c r="B104" s="31" t="s">
        <v>241</v>
      </c>
      <c r="C104" s="32">
        <v>391</v>
      </c>
      <c r="D104" s="31">
        <v>85</v>
      </c>
      <c r="E104" s="32">
        <v>288</v>
      </c>
      <c r="F104" s="32">
        <v>9</v>
      </c>
      <c r="G104" s="33">
        <v>3.6</v>
      </c>
      <c r="H104" s="33">
        <v>32.4</v>
      </c>
    </row>
    <row r="105" spans="1:8" ht="30">
      <c r="A105" s="31" t="s">
        <v>145</v>
      </c>
      <c r="B105" s="31" t="s">
        <v>242</v>
      </c>
      <c r="C105" s="32">
        <v>945</v>
      </c>
      <c r="D105" s="31">
        <v>85</v>
      </c>
      <c r="E105" s="32">
        <v>786</v>
      </c>
      <c r="F105" s="32">
        <v>11</v>
      </c>
      <c r="G105" s="33">
        <v>27</v>
      </c>
      <c r="H105" s="33">
        <v>297</v>
      </c>
    </row>
    <row r="106" spans="1:8" ht="30">
      <c r="A106" s="31" t="s">
        <v>145</v>
      </c>
      <c r="B106" s="31" t="s">
        <v>243</v>
      </c>
      <c r="C106" s="32">
        <v>227</v>
      </c>
      <c r="D106" s="31">
        <v>85</v>
      </c>
      <c r="E106" s="32">
        <v>161</v>
      </c>
      <c r="F106" s="32">
        <v>4</v>
      </c>
      <c r="G106" s="33">
        <v>5.4</v>
      </c>
      <c r="H106" s="33">
        <v>21.6</v>
      </c>
    </row>
    <row r="107" spans="1:8" ht="30">
      <c r="A107" s="31" t="s">
        <v>145</v>
      </c>
      <c r="B107" s="31" t="s">
        <v>244</v>
      </c>
      <c r="C107" s="32">
        <v>1083</v>
      </c>
      <c r="D107" s="31">
        <v>85</v>
      </c>
      <c r="E107" s="32">
        <v>368</v>
      </c>
      <c r="F107" s="32">
        <v>15</v>
      </c>
      <c r="G107" s="33">
        <v>8.5</v>
      </c>
      <c r="H107" s="33">
        <v>127.5</v>
      </c>
    </row>
    <row r="108" spans="1:8" ht="30">
      <c r="A108" s="31" t="s">
        <v>145</v>
      </c>
      <c r="B108" s="31" t="s">
        <v>245</v>
      </c>
      <c r="C108" s="32">
        <v>303</v>
      </c>
      <c r="D108" s="31">
        <v>85</v>
      </c>
      <c r="E108" s="32">
        <v>243</v>
      </c>
      <c r="F108" s="32">
        <v>5</v>
      </c>
      <c r="G108" s="33">
        <v>6</v>
      </c>
      <c r="H108" s="33">
        <v>30</v>
      </c>
    </row>
    <row r="109" spans="1:8" ht="30">
      <c r="A109" s="31" t="s">
        <v>145</v>
      </c>
      <c r="B109" s="31" t="s">
        <v>246</v>
      </c>
      <c r="C109" s="32">
        <v>215</v>
      </c>
      <c r="D109" s="31">
        <v>85</v>
      </c>
      <c r="E109" s="32">
        <v>13</v>
      </c>
      <c r="F109" s="32">
        <v>2</v>
      </c>
      <c r="G109" s="33">
        <v>0.5</v>
      </c>
      <c r="H109" s="33">
        <v>1</v>
      </c>
    </row>
    <row r="110" spans="1:8" ht="30">
      <c r="A110" s="31" t="s">
        <v>145</v>
      </c>
      <c r="B110" s="31" t="s">
        <v>247</v>
      </c>
      <c r="C110" s="32">
        <v>1171</v>
      </c>
      <c r="D110" s="31">
        <v>85</v>
      </c>
      <c r="E110" s="32">
        <v>56</v>
      </c>
      <c r="F110" s="32">
        <v>7</v>
      </c>
      <c r="G110" s="33">
        <v>24.4</v>
      </c>
      <c r="H110" s="33">
        <v>170.8</v>
      </c>
    </row>
    <row r="111" spans="1:8" ht="15">
      <c r="A111" s="31" t="s">
        <v>145</v>
      </c>
      <c r="B111" s="31" t="s">
        <v>248</v>
      </c>
      <c r="C111" s="32">
        <v>98687</v>
      </c>
      <c r="D111" s="31">
        <v>85</v>
      </c>
      <c r="E111" s="32">
        <v>13242</v>
      </c>
      <c r="F111" s="32">
        <v>153</v>
      </c>
      <c r="G111" s="33">
        <v>9.8000000000000007</v>
      </c>
      <c r="H111" s="33">
        <v>1499.4</v>
      </c>
    </row>
    <row r="112" spans="1:8" ht="30">
      <c r="A112" s="31" t="s">
        <v>145</v>
      </c>
      <c r="B112" s="31" t="s">
        <v>249</v>
      </c>
      <c r="C112" s="32">
        <v>561</v>
      </c>
      <c r="D112" s="31">
        <v>85</v>
      </c>
      <c r="E112" s="32">
        <v>41</v>
      </c>
      <c r="F112" s="32">
        <v>2</v>
      </c>
      <c r="G112" s="33">
        <v>1.1000000000000001</v>
      </c>
      <c r="H112" s="33">
        <v>2.2000000000000002</v>
      </c>
    </row>
    <row r="113" spans="1:8" ht="30">
      <c r="A113" s="31" t="s">
        <v>145</v>
      </c>
      <c r="B113" s="31" t="s">
        <v>250</v>
      </c>
      <c r="C113" s="32">
        <v>644</v>
      </c>
      <c r="D113" s="31">
        <v>85</v>
      </c>
      <c r="E113" s="32">
        <v>528</v>
      </c>
      <c r="F113" s="32">
        <v>15</v>
      </c>
      <c r="G113" s="33">
        <v>4.9000000000000004</v>
      </c>
      <c r="H113" s="33">
        <v>73.5</v>
      </c>
    </row>
    <row r="114" spans="1:8" ht="15">
      <c r="A114" s="31" t="s">
        <v>145</v>
      </c>
      <c r="B114" s="31" t="s">
        <v>251</v>
      </c>
      <c r="C114" s="32">
        <v>671</v>
      </c>
      <c r="D114" s="31">
        <v>85</v>
      </c>
      <c r="E114" s="32">
        <v>96</v>
      </c>
      <c r="F114" s="32">
        <v>5</v>
      </c>
      <c r="G114" s="33">
        <v>3</v>
      </c>
      <c r="H114" s="33">
        <v>15</v>
      </c>
    </row>
    <row r="115" spans="1:8" ht="30">
      <c r="A115" s="31" t="s">
        <v>145</v>
      </c>
      <c r="B115" s="31" t="s">
        <v>252</v>
      </c>
      <c r="C115" s="32">
        <v>323</v>
      </c>
      <c r="D115" s="31">
        <v>85</v>
      </c>
      <c r="E115" s="32">
        <v>295</v>
      </c>
      <c r="F115" s="32">
        <v>6</v>
      </c>
      <c r="G115" s="33">
        <v>9.5</v>
      </c>
      <c r="H115" s="33">
        <v>57</v>
      </c>
    </row>
    <row r="116" spans="1:8" ht="30">
      <c r="A116" s="31" t="s">
        <v>145</v>
      </c>
      <c r="B116" s="31" t="s">
        <v>253</v>
      </c>
      <c r="C116" s="32">
        <v>1956</v>
      </c>
      <c r="D116" s="31">
        <v>85</v>
      </c>
      <c r="E116" s="32">
        <v>29</v>
      </c>
      <c r="F116" s="32">
        <v>3</v>
      </c>
      <c r="G116" s="33">
        <v>1.6</v>
      </c>
      <c r="H116" s="33">
        <v>4.8</v>
      </c>
    </row>
    <row r="117" spans="1:8" ht="30">
      <c r="A117" s="31" t="s">
        <v>145</v>
      </c>
      <c r="B117" s="31" t="s">
        <v>254</v>
      </c>
      <c r="C117" s="32">
        <v>1999</v>
      </c>
      <c r="D117" s="31">
        <v>85</v>
      </c>
      <c r="E117" s="32">
        <v>1083</v>
      </c>
      <c r="F117" s="32">
        <v>37</v>
      </c>
      <c r="G117" s="33">
        <v>4.0999999999999996</v>
      </c>
      <c r="H117" s="33">
        <v>151.69999999999999</v>
      </c>
    </row>
    <row r="118" spans="1:8" ht="30">
      <c r="A118" s="31" t="s">
        <v>145</v>
      </c>
      <c r="B118" s="31" t="s">
        <v>255</v>
      </c>
      <c r="C118" s="32">
        <v>641</v>
      </c>
      <c r="D118" s="31">
        <v>85</v>
      </c>
      <c r="E118" s="32">
        <v>4</v>
      </c>
      <c r="F118" s="32">
        <v>2</v>
      </c>
      <c r="G118" s="33">
        <v>0.1</v>
      </c>
      <c r="H118" s="33">
        <v>0.2</v>
      </c>
    </row>
    <row r="119" spans="1:8" ht="30">
      <c r="A119" s="31" t="s">
        <v>145</v>
      </c>
      <c r="B119" s="31" t="s">
        <v>256</v>
      </c>
      <c r="C119" s="32">
        <v>627</v>
      </c>
      <c r="D119" s="31">
        <v>85</v>
      </c>
      <c r="E119" s="32">
        <v>455</v>
      </c>
      <c r="F119" s="32">
        <v>14</v>
      </c>
      <c r="G119" s="33">
        <v>5.2</v>
      </c>
      <c r="H119" s="33">
        <v>72.8</v>
      </c>
    </row>
    <row r="120" spans="1:8" ht="30">
      <c r="A120" s="31" t="s">
        <v>145</v>
      </c>
      <c r="B120" s="31" t="s">
        <v>257</v>
      </c>
      <c r="C120" s="32">
        <v>750</v>
      </c>
      <c r="D120" s="31">
        <v>85</v>
      </c>
      <c r="E120" s="32">
        <v>613</v>
      </c>
      <c r="F120" s="32">
        <v>21</v>
      </c>
      <c r="G120" s="33">
        <v>3.8</v>
      </c>
      <c r="H120" s="33">
        <v>79.8</v>
      </c>
    </row>
    <row r="121" spans="1:8" ht="30">
      <c r="A121" s="31" t="s">
        <v>145</v>
      </c>
      <c r="B121" s="31" t="s">
        <v>258</v>
      </c>
      <c r="C121" s="32">
        <v>833</v>
      </c>
      <c r="D121" s="31">
        <v>85</v>
      </c>
      <c r="E121" s="32">
        <v>85</v>
      </c>
      <c r="F121" s="32">
        <v>3</v>
      </c>
      <c r="G121" s="33">
        <v>0.8</v>
      </c>
      <c r="H121" s="33">
        <v>2.4</v>
      </c>
    </row>
    <row r="122" spans="1:8" ht="30">
      <c r="A122" s="31" t="s">
        <v>145</v>
      </c>
      <c r="B122" s="31" t="s">
        <v>259</v>
      </c>
      <c r="C122" s="32">
        <v>1347</v>
      </c>
      <c r="D122" s="31">
        <v>85</v>
      </c>
      <c r="E122" s="32">
        <v>1063</v>
      </c>
      <c r="F122" s="32">
        <v>17</v>
      </c>
      <c r="G122" s="33">
        <v>19.600000000000001</v>
      </c>
      <c r="H122" s="33">
        <v>333.2</v>
      </c>
    </row>
    <row r="123" spans="1:8" ht="45">
      <c r="A123" s="31" t="s">
        <v>145</v>
      </c>
      <c r="B123" s="31" t="s">
        <v>260</v>
      </c>
      <c r="C123" s="32">
        <v>1924</v>
      </c>
      <c r="D123" s="31">
        <v>85</v>
      </c>
      <c r="E123" s="32">
        <v>1144</v>
      </c>
      <c r="F123" s="32">
        <v>50</v>
      </c>
      <c r="G123" s="33">
        <v>4.8</v>
      </c>
      <c r="H123" s="33">
        <v>240</v>
      </c>
    </row>
    <row r="124" spans="1:8" ht="30">
      <c r="A124" s="31" t="s">
        <v>145</v>
      </c>
      <c r="B124" s="31" t="s">
        <v>261</v>
      </c>
      <c r="C124" s="32">
        <v>691</v>
      </c>
      <c r="D124" s="31">
        <v>85</v>
      </c>
      <c r="E124" s="32">
        <v>92</v>
      </c>
      <c r="F124" s="32">
        <v>3</v>
      </c>
      <c r="G124" s="33">
        <v>2.7</v>
      </c>
      <c r="H124" s="33">
        <v>8.1</v>
      </c>
    </row>
    <row r="125" spans="1:8" ht="30">
      <c r="A125" s="31" t="s">
        <v>145</v>
      </c>
      <c r="B125" s="31" t="s">
        <v>262</v>
      </c>
      <c r="C125" s="32">
        <v>720</v>
      </c>
      <c r="D125" s="31">
        <v>85</v>
      </c>
      <c r="E125" s="32">
        <v>130</v>
      </c>
      <c r="F125" s="32">
        <v>3</v>
      </c>
      <c r="G125" s="33">
        <v>1.7</v>
      </c>
      <c r="H125" s="33">
        <v>5.0999999999999996</v>
      </c>
    </row>
    <row r="126" spans="1:8" ht="30">
      <c r="A126" s="31" t="s">
        <v>145</v>
      </c>
      <c r="B126" s="31" t="s">
        <v>263</v>
      </c>
      <c r="C126" s="32">
        <v>847</v>
      </c>
      <c r="D126" s="31">
        <v>85</v>
      </c>
      <c r="E126" s="32">
        <v>3</v>
      </c>
      <c r="F126" s="32">
        <v>2</v>
      </c>
      <c r="G126" s="33">
        <v>0.1</v>
      </c>
      <c r="H126" s="33">
        <v>0.2</v>
      </c>
    </row>
    <row r="127" spans="1:8" ht="30">
      <c r="A127" s="31" t="s">
        <v>145</v>
      </c>
      <c r="B127" s="31" t="s">
        <v>264</v>
      </c>
      <c r="C127" s="32">
        <v>514</v>
      </c>
      <c r="D127" s="31">
        <v>85</v>
      </c>
      <c r="E127" s="32">
        <v>111</v>
      </c>
      <c r="F127" s="32">
        <v>4</v>
      </c>
      <c r="G127" s="33">
        <v>2.7</v>
      </c>
      <c r="H127" s="33">
        <v>10.8</v>
      </c>
    </row>
    <row r="128" spans="1:8" ht="30">
      <c r="A128" s="31" t="s">
        <v>145</v>
      </c>
      <c r="B128" s="31" t="s">
        <v>265</v>
      </c>
      <c r="C128" s="32">
        <v>810</v>
      </c>
      <c r="D128" s="31">
        <v>85</v>
      </c>
      <c r="E128" s="32">
        <v>101</v>
      </c>
      <c r="F128" s="32">
        <v>6</v>
      </c>
      <c r="G128" s="33">
        <v>5.3</v>
      </c>
      <c r="H128" s="33">
        <v>31.8</v>
      </c>
    </row>
    <row r="129" spans="1:8" ht="30">
      <c r="A129" s="31" t="s">
        <v>145</v>
      </c>
      <c r="B129" s="31" t="s">
        <v>266</v>
      </c>
      <c r="C129" s="32">
        <v>1309</v>
      </c>
      <c r="D129" s="31">
        <v>85</v>
      </c>
      <c r="E129" s="32">
        <v>314</v>
      </c>
      <c r="F129" s="32">
        <v>4</v>
      </c>
      <c r="G129" s="33">
        <v>16.5</v>
      </c>
      <c r="H129" s="33">
        <v>66</v>
      </c>
    </row>
    <row r="130" spans="1:8" ht="30">
      <c r="A130" s="31" t="s">
        <v>145</v>
      </c>
      <c r="B130" s="31" t="s">
        <v>267</v>
      </c>
      <c r="C130" s="32">
        <v>290</v>
      </c>
      <c r="D130" s="31">
        <v>85</v>
      </c>
      <c r="E130" s="32">
        <v>38</v>
      </c>
      <c r="F130" s="32">
        <v>2</v>
      </c>
      <c r="G130" s="33">
        <v>0.6</v>
      </c>
      <c r="H130" s="33">
        <v>1.2</v>
      </c>
    </row>
    <row r="131" spans="1:8" ht="30">
      <c r="A131" s="31" t="s">
        <v>145</v>
      </c>
      <c r="B131" s="31" t="s">
        <v>268</v>
      </c>
      <c r="C131" s="32">
        <v>105</v>
      </c>
      <c r="D131" s="31">
        <v>85</v>
      </c>
      <c r="E131" s="32">
        <v>88</v>
      </c>
      <c r="F131" s="32">
        <v>3</v>
      </c>
      <c r="G131" s="33">
        <v>3.5</v>
      </c>
      <c r="H131" s="33">
        <v>10.5</v>
      </c>
    </row>
    <row r="132" spans="1:8" ht="30">
      <c r="A132" s="31" t="s">
        <v>146</v>
      </c>
      <c r="B132" s="31" t="s">
        <v>130</v>
      </c>
      <c r="C132" s="32">
        <v>166</v>
      </c>
      <c r="D132" s="31">
        <v>85</v>
      </c>
      <c r="E132" s="32">
        <v>144</v>
      </c>
      <c r="F132" s="32">
        <v>3</v>
      </c>
      <c r="G132" s="33">
        <v>8.1</v>
      </c>
      <c r="H132" s="33">
        <v>24.3</v>
      </c>
    </row>
    <row r="133" spans="1:8" ht="30">
      <c r="A133" s="31" t="s">
        <v>146</v>
      </c>
      <c r="B133" s="31" t="s">
        <v>269</v>
      </c>
      <c r="C133" s="32">
        <v>1271</v>
      </c>
      <c r="D133" s="31">
        <v>85</v>
      </c>
      <c r="E133" s="32">
        <v>845</v>
      </c>
      <c r="F133" s="32">
        <v>13</v>
      </c>
      <c r="G133" s="33">
        <v>14.9</v>
      </c>
      <c r="H133" s="33">
        <v>193.7</v>
      </c>
    </row>
    <row r="134" spans="1:8" ht="30">
      <c r="A134" s="31" t="s">
        <v>146</v>
      </c>
      <c r="B134" s="31" t="s">
        <v>270</v>
      </c>
      <c r="C134" s="32">
        <v>297</v>
      </c>
      <c r="D134" s="31">
        <v>85</v>
      </c>
      <c r="E134" s="32">
        <v>263</v>
      </c>
      <c r="F134" s="32">
        <v>10</v>
      </c>
      <c r="G134" s="33">
        <v>7.7</v>
      </c>
      <c r="H134" s="33">
        <v>77</v>
      </c>
    </row>
    <row r="135" spans="1:8" ht="30">
      <c r="A135" s="31" t="s">
        <v>146</v>
      </c>
      <c r="B135" s="31" t="s">
        <v>271</v>
      </c>
      <c r="C135" s="32">
        <v>261</v>
      </c>
      <c r="D135" s="31">
        <v>85</v>
      </c>
      <c r="E135" s="32">
        <v>208</v>
      </c>
      <c r="F135" s="32">
        <v>6</v>
      </c>
      <c r="G135" s="33">
        <v>2.9</v>
      </c>
      <c r="H135" s="33">
        <v>17.399999999999999</v>
      </c>
    </row>
    <row r="136" spans="1:8" ht="30">
      <c r="A136" s="31" t="s">
        <v>146</v>
      </c>
      <c r="B136" s="31" t="s">
        <v>272</v>
      </c>
      <c r="C136" s="32">
        <v>1142</v>
      </c>
      <c r="D136" s="31">
        <v>85</v>
      </c>
      <c r="E136" s="32">
        <v>847</v>
      </c>
      <c r="F136" s="32">
        <v>10</v>
      </c>
      <c r="G136" s="33">
        <v>12.8</v>
      </c>
      <c r="H136" s="33">
        <v>128</v>
      </c>
    </row>
    <row r="137" spans="1:8" ht="30">
      <c r="A137" s="31" t="s">
        <v>146</v>
      </c>
      <c r="B137" s="31" t="s">
        <v>273</v>
      </c>
      <c r="C137" s="32">
        <v>432</v>
      </c>
      <c r="D137" s="31">
        <v>85</v>
      </c>
      <c r="E137" s="32">
        <v>378</v>
      </c>
      <c r="F137" s="32">
        <v>8</v>
      </c>
      <c r="G137" s="33">
        <v>3.6</v>
      </c>
      <c r="H137" s="33">
        <v>28.8</v>
      </c>
    </row>
    <row r="138" spans="1:8" ht="15">
      <c r="A138" s="31" t="s">
        <v>146</v>
      </c>
      <c r="B138" s="31" t="s">
        <v>274</v>
      </c>
      <c r="C138" s="32">
        <v>971</v>
      </c>
      <c r="D138" s="31">
        <v>85</v>
      </c>
      <c r="E138" s="32">
        <v>835</v>
      </c>
      <c r="F138" s="32">
        <v>11</v>
      </c>
      <c r="G138" s="33">
        <v>4.7</v>
      </c>
      <c r="H138" s="33">
        <v>51.7</v>
      </c>
    </row>
    <row r="139" spans="1:8" ht="15">
      <c r="A139" s="31" t="s">
        <v>146</v>
      </c>
      <c r="B139" s="31" t="s">
        <v>275</v>
      </c>
      <c r="C139" s="32">
        <v>11641</v>
      </c>
      <c r="D139" s="31">
        <v>85</v>
      </c>
      <c r="E139" s="32">
        <v>8660</v>
      </c>
      <c r="F139" s="32">
        <v>257</v>
      </c>
      <c r="G139" s="33">
        <v>7.2</v>
      </c>
      <c r="H139" s="33">
        <v>1850.4</v>
      </c>
    </row>
    <row r="140" spans="1:8" ht="15">
      <c r="A140" s="31" t="s">
        <v>146</v>
      </c>
      <c r="B140" s="31" t="s">
        <v>276</v>
      </c>
      <c r="C140" s="32">
        <v>353</v>
      </c>
      <c r="D140" s="31">
        <v>85</v>
      </c>
      <c r="E140" s="32">
        <v>310</v>
      </c>
      <c r="F140" s="32">
        <v>6</v>
      </c>
      <c r="G140" s="33">
        <v>12.9</v>
      </c>
      <c r="H140" s="33">
        <v>77.400000000000006</v>
      </c>
    </row>
    <row r="141" spans="1:8" ht="15">
      <c r="A141" s="31" t="s">
        <v>146</v>
      </c>
      <c r="B141" s="31" t="s">
        <v>277</v>
      </c>
      <c r="C141" s="32">
        <v>498</v>
      </c>
      <c r="D141" s="31">
        <v>85</v>
      </c>
      <c r="E141" s="32">
        <v>382</v>
      </c>
      <c r="F141" s="32">
        <v>5</v>
      </c>
      <c r="G141" s="33">
        <v>7.3</v>
      </c>
      <c r="H141" s="33">
        <v>36.5</v>
      </c>
    </row>
    <row r="142" spans="1:8" ht="15">
      <c r="A142" s="31" t="s">
        <v>146</v>
      </c>
      <c r="B142" s="31" t="s">
        <v>278</v>
      </c>
      <c r="C142" s="32">
        <v>265</v>
      </c>
      <c r="D142" s="31">
        <v>85</v>
      </c>
      <c r="E142" s="32">
        <v>199</v>
      </c>
      <c r="F142" s="32">
        <v>2</v>
      </c>
      <c r="G142" s="33">
        <v>6.3</v>
      </c>
      <c r="H142" s="33">
        <v>12.6</v>
      </c>
    </row>
    <row r="143" spans="1:8" ht="15">
      <c r="A143" s="31" t="s">
        <v>146</v>
      </c>
      <c r="B143" s="31" t="s">
        <v>279</v>
      </c>
      <c r="C143" s="32">
        <v>2526</v>
      </c>
      <c r="D143" s="31">
        <v>85</v>
      </c>
      <c r="E143" s="32">
        <v>2155</v>
      </c>
      <c r="F143" s="32">
        <v>25</v>
      </c>
      <c r="G143" s="33">
        <v>6.3</v>
      </c>
      <c r="H143" s="33">
        <v>157.5</v>
      </c>
    </row>
    <row r="144" spans="1:8" ht="15">
      <c r="A144" s="31" t="s">
        <v>146</v>
      </c>
      <c r="B144" s="31" t="s">
        <v>280</v>
      </c>
      <c r="C144" s="32">
        <v>3712</v>
      </c>
      <c r="D144" s="31">
        <v>85</v>
      </c>
      <c r="E144" s="32">
        <v>3058</v>
      </c>
      <c r="F144" s="32">
        <v>64</v>
      </c>
      <c r="G144" s="33">
        <v>5.6</v>
      </c>
      <c r="H144" s="33">
        <v>358.4</v>
      </c>
    </row>
    <row r="145" spans="1:8" ht="15">
      <c r="A145" s="31" t="s">
        <v>146</v>
      </c>
      <c r="B145" s="31" t="s">
        <v>281</v>
      </c>
      <c r="C145" s="32">
        <v>1823</v>
      </c>
      <c r="D145" s="31">
        <v>85</v>
      </c>
      <c r="E145" s="32">
        <v>1539</v>
      </c>
      <c r="F145" s="32">
        <v>23</v>
      </c>
      <c r="G145" s="33">
        <v>8.3000000000000007</v>
      </c>
      <c r="H145" s="33">
        <v>190.9</v>
      </c>
    </row>
    <row r="146" spans="1:8" ht="30">
      <c r="A146" s="31" t="s">
        <v>146</v>
      </c>
      <c r="B146" s="31" t="s">
        <v>282</v>
      </c>
      <c r="C146" s="32">
        <v>318</v>
      </c>
      <c r="D146" s="31">
        <v>85</v>
      </c>
      <c r="E146" s="32">
        <v>246</v>
      </c>
      <c r="F146" s="32">
        <v>4</v>
      </c>
      <c r="G146" s="33">
        <v>12.7</v>
      </c>
      <c r="H146" s="33">
        <v>50.8</v>
      </c>
    </row>
    <row r="147" spans="1:8" ht="15">
      <c r="A147" s="31" t="s">
        <v>146</v>
      </c>
      <c r="B147" s="31" t="s">
        <v>283</v>
      </c>
      <c r="C147" s="32">
        <v>2374</v>
      </c>
      <c r="D147" s="31">
        <v>85</v>
      </c>
      <c r="E147" s="32">
        <v>1918</v>
      </c>
      <c r="F147" s="32">
        <v>33</v>
      </c>
      <c r="G147" s="33">
        <v>4.0999999999999996</v>
      </c>
      <c r="H147" s="33">
        <v>135.30000000000001</v>
      </c>
    </row>
    <row r="148" spans="1:8" ht="15">
      <c r="A148" s="31" t="s">
        <v>146</v>
      </c>
      <c r="B148" s="31" t="s">
        <v>284</v>
      </c>
      <c r="C148" s="32">
        <v>227</v>
      </c>
      <c r="D148" s="31">
        <v>85</v>
      </c>
      <c r="E148" s="32">
        <v>193</v>
      </c>
      <c r="F148" s="32">
        <v>3</v>
      </c>
      <c r="G148" s="33">
        <v>5</v>
      </c>
      <c r="H148" s="33">
        <v>15</v>
      </c>
    </row>
    <row r="149" spans="1:8" ht="45">
      <c r="A149" s="31" t="s">
        <v>146</v>
      </c>
      <c r="B149" s="31" t="s">
        <v>285</v>
      </c>
      <c r="C149" s="32">
        <v>223</v>
      </c>
      <c r="D149" s="31">
        <v>85</v>
      </c>
      <c r="E149" s="32">
        <v>173</v>
      </c>
      <c r="F149" s="32">
        <v>7</v>
      </c>
      <c r="G149" s="33">
        <v>3.5</v>
      </c>
      <c r="H149" s="33">
        <v>24.5</v>
      </c>
    </row>
    <row r="150" spans="1:8" ht="30">
      <c r="A150" s="31" t="s">
        <v>146</v>
      </c>
      <c r="B150" s="31" t="s">
        <v>286</v>
      </c>
      <c r="C150" s="32">
        <v>222</v>
      </c>
      <c r="D150" s="31">
        <v>85</v>
      </c>
      <c r="E150" s="32">
        <v>173</v>
      </c>
      <c r="F150" s="32">
        <v>4</v>
      </c>
      <c r="G150" s="33">
        <v>3.3</v>
      </c>
      <c r="H150" s="33">
        <v>13.2</v>
      </c>
    </row>
    <row r="151" spans="1:8" ht="30">
      <c r="A151" s="31" t="s">
        <v>146</v>
      </c>
      <c r="B151" s="31" t="s">
        <v>287</v>
      </c>
      <c r="C151" s="32">
        <v>332</v>
      </c>
      <c r="D151" s="31">
        <v>85</v>
      </c>
      <c r="E151" s="32">
        <v>115</v>
      </c>
      <c r="F151" s="32">
        <v>4</v>
      </c>
      <c r="G151" s="33">
        <v>3.1</v>
      </c>
      <c r="H151" s="33">
        <v>12.4</v>
      </c>
    </row>
    <row r="152" spans="1:8" ht="30">
      <c r="A152" s="31" t="s">
        <v>146</v>
      </c>
      <c r="B152" s="31" t="s">
        <v>288</v>
      </c>
      <c r="C152" s="32">
        <v>150</v>
      </c>
      <c r="D152" s="31">
        <v>85</v>
      </c>
      <c r="E152" s="32">
        <v>145</v>
      </c>
      <c r="F152" s="32">
        <v>3</v>
      </c>
      <c r="G152" s="33">
        <v>3.4</v>
      </c>
      <c r="H152" s="33">
        <v>10.199999999999999</v>
      </c>
    </row>
    <row r="153" spans="1:8" ht="30">
      <c r="A153" s="31" t="s">
        <v>146</v>
      </c>
      <c r="B153" s="31" t="s">
        <v>289</v>
      </c>
      <c r="C153" s="32">
        <v>278</v>
      </c>
      <c r="D153" s="31">
        <v>85</v>
      </c>
      <c r="E153" s="32">
        <v>19</v>
      </c>
      <c r="F153" s="32">
        <v>2</v>
      </c>
      <c r="G153" s="33">
        <v>0.3</v>
      </c>
      <c r="H153" s="33">
        <v>0.6</v>
      </c>
    </row>
    <row r="154" spans="1:8" ht="30">
      <c r="A154" s="31" t="s">
        <v>146</v>
      </c>
      <c r="B154" s="31" t="s">
        <v>290</v>
      </c>
      <c r="C154" s="32">
        <v>1030</v>
      </c>
      <c r="D154" s="31">
        <v>85</v>
      </c>
      <c r="E154" s="32">
        <v>821</v>
      </c>
      <c r="F154" s="32">
        <v>10</v>
      </c>
      <c r="G154" s="33">
        <v>13.3</v>
      </c>
      <c r="H154" s="33">
        <v>133</v>
      </c>
    </row>
    <row r="155" spans="1:8" ht="45">
      <c r="A155" s="31" t="s">
        <v>146</v>
      </c>
      <c r="B155" s="31" t="s">
        <v>291</v>
      </c>
      <c r="C155" s="32">
        <v>301</v>
      </c>
      <c r="D155" s="31">
        <v>85</v>
      </c>
      <c r="E155" s="32">
        <v>259</v>
      </c>
      <c r="F155" s="32">
        <v>7</v>
      </c>
      <c r="G155" s="33">
        <v>4.5</v>
      </c>
      <c r="H155" s="33">
        <v>31.5</v>
      </c>
    </row>
    <row r="156" spans="1:8" ht="30">
      <c r="A156" s="31" t="s">
        <v>146</v>
      </c>
      <c r="B156" s="31" t="s">
        <v>292</v>
      </c>
      <c r="C156" s="32">
        <v>398</v>
      </c>
      <c r="D156" s="31">
        <v>85</v>
      </c>
      <c r="E156" s="32">
        <v>313</v>
      </c>
      <c r="F156" s="32">
        <v>4</v>
      </c>
      <c r="G156" s="33">
        <v>10</v>
      </c>
      <c r="H156" s="33">
        <v>40</v>
      </c>
    </row>
    <row r="157" spans="1:8" ht="30">
      <c r="A157" s="31" t="s">
        <v>146</v>
      </c>
      <c r="B157" s="31" t="s">
        <v>293</v>
      </c>
      <c r="C157" s="32">
        <v>589</v>
      </c>
      <c r="D157" s="31">
        <v>85</v>
      </c>
      <c r="E157" s="32">
        <v>238</v>
      </c>
      <c r="F157" s="32">
        <v>5</v>
      </c>
      <c r="G157" s="33">
        <v>4.5999999999999996</v>
      </c>
      <c r="H157" s="33">
        <v>23</v>
      </c>
    </row>
    <row r="158" spans="1:8" ht="30">
      <c r="A158" s="31" t="s">
        <v>146</v>
      </c>
      <c r="B158" s="31" t="s">
        <v>294</v>
      </c>
      <c r="C158" s="32">
        <v>101</v>
      </c>
      <c r="D158" s="31">
        <v>85</v>
      </c>
      <c r="E158" s="32">
        <v>84</v>
      </c>
      <c r="F158" s="32">
        <v>3</v>
      </c>
      <c r="G158" s="33">
        <v>3.5</v>
      </c>
      <c r="H158" s="33">
        <v>10.5</v>
      </c>
    </row>
    <row r="159" spans="1:8" ht="15">
      <c r="A159" s="31" t="s">
        <v>146</v>
      </c>
      <c r="B159" s="31" t="s">
        <v>295</v>
      </c>
      <c r="C159" s="32">
        <v>79</v>
      </c>
      <c r="D159" s="31">
        <v>85</v>
      </c>
      <c r="E159" s="32">
        <v>37</v>
      </c>
      <c r="F159" s="32">
        <v>2</v>
      </c>
      <c r="G159" s="33">
        <v>0.6</v>
      </c>
      <c r="H159" s="33">
        <v>1.2</v>
      </c>
    </row>
    <row r="160" spans="1:8" ht="30">
      <c r="A160" s="31" t="s">
        <v>146</v>
      </c>
      <c r="B160" s="31" t="s">
        <v>296</v>
      </c>
      <c r="C160" s="32">
        <v>1057</v>
      </c>
      <c r="D160" s="31">
        <v>85</v>
      </c>
      <c r="E160" s="32">
        <v>836</v>
      </c>
      <c r="F160" s="32">
        <v>12</v>
      </c>
      <c r="G160" s="33">
        <v>11.7</v>
      </c>
      <c r="H160" s="33">
        <v>140.4</v>
      </c>
    </row>
    <row r="161" spans="1:8" ht="30">
      <c r="A161" s="31" t="s">
        <v>146</v>
      </c>
      <c r="B161" s="31" t="s">
        <v>297</v>
      </c>
      <c r="C161" s="32">
        <v>795</v>
      </c>
      <c r="D161" s="31">
        <v>85</v>
      </c>
      <c r="E161" s="32">
        <v>664</v>
      </c>
      <c r="F161" s="32">
        <v>39</v>
      </c>
      <c r="G161" s="33">
        <v>10.9</v>
      </c>
      <c r="H161" s="33">
        <v>425.1</v>
      </c>
    </row>
    <row r="162" spans="1:8" ht="15">
      <c r="A162" s="31" t="s">
        <v>146</v>
      </c>
      <c r="B162" s="31" t="s">
        <v>298</v>
      </c>
      <c r="C162" s="32">
        <v>60457</v>
      </c>
      <c r="D162" s="31">
        <v>85</v>
      </c>
      <c r="E162" s="32">
        <v>2111</v>
      </c>
      <c r="F162" s="32">
        <v>21</v>
      </c>
      <c r="G162" s="33">
        <v>8.9</v>
      </c>
      <c r="H162" s="33">
        <v>186.9</v>
      </c>
    </row>
    <row r="163" spans="1:8" ht="30">
      <c r="A163" s="31" t="s">
        <v>146</v>
      </c>
      <c r="B163" s="31" t="s">
        <v>299</v>
      </c>
      <c r="C163" s="32">
        <v>164</v>
      </c>
      <c r="D163" s="31">
        <v>85</v>
      </c>
      <c r="E163" s="32">
        <v>149</v>
      </c>
      <c r="F163" s="32">
        <v>4</v>
      </c>
      <c r="G163" s="33">
        <v>2.5</v>
      </c>
      <c r="H163" s="33">
        <v>10</v>
      </c>
    </row>
    <row r="164" spans="1:8" ht="30">
      <c r="A164" s="31" t="s">
        <v>146</v>
      </c>
      <c r="B164" s="31" t="s">
        <v>300</v>
      </c>
      <c r="C164" s="32">
        <v>308</v>
      </c>
      <c r="D164" s="31">
        <v>85</v>
      </c>
      <c r="E164" s="32">
        <v>251</v>
      </c>
      <c r="F164" s="32">
        <v>6</v>
      </c>
      <c r="G164" s="33">
        <v>3.4</v>
      </c>
      <c r="H164" s="33">
        <v>20.399999999999999</v>
      </c>
    </row>
    <row r="165" spans="1:8" ht="30">
      <c r="A165" s="31" t="s">
        <v>146</v>
      </c>
      <c r="B165" s="31" t="s">
        <v>301</v>
      </c>
      <c r="C165" s="32">
        <v>272</v>
      </c>
      <c r="D165" s="31">
        <v>85</v>
      </c>
      <c r="E165" s="32">
        <v>233</v>
      </c>
      <c r="F165" s="32">
        <v>8</v>
      </c>
      <c r="G165" s="33">
        <v>2.5</v>
      </c>
      <c r="H165" s="33">
        <v>20</v>
      </c>
    </row>
    <row r="166" spans="1:8" ht="30">
      <c r="A166" s="31" t="s">
        <v>146</v>
      </c>
      <c r="B166" s="31" t="s">
        <v>302</v>
      </c>
      <c r="C166" s="32">
        <v>375</v>
      </c>
      <c r="D166" s="31">
        <v>85</v>
      </c>
      <c r="E166" s="32">
        <v>285</v>
      </c>
      <c r="F166" s="32">
        <v>6</v>
      </c>
      <c r="G166" s="33">
        <v>6.6</v>
      </c>
      <c r="H166" s="33">
        <v>39.6</v>
      </c>
    </row>
    <row r="167" spans="1:8" ht="30">
      <c r="A167" s="31" t="s">
        <v>146</v>
      </c>
      <c r="B167" s="31" t="s">
        <v>303</v>
      </c>
      <c r="C167" s="32">
        <v>354</v>
      </c>
      <c r="D167" s="31">
        <v>85</v>
      </c>
      <c r="E167" s="32">
        <v>274</v>
      </c>
      <c r="F167" s="32">
        <v>5</v>
      </c>
      <c r="G167" s="33">
        <v>3.5</v>
      </c>
      <c r="H167" s="33">
        <v>17.5</v>
      </c>
    </row>
    <row r="168" spans="1:8" ht="30">
      <c r="A168" s="31" t="s">
        <v>146</v>
      </c>
      <c r="B168" s="31" t="s">
        <v>304</v>
      </c>
      <c r="C168" s="32">
        <v>404</v>
      </c>
      <c r="D168" s="31">
        <v>85</v>
      </c>
      <c r="E168" s="32">
        <v>75</v>
      </c>
      <c r="F168" s="32">
        <v>4</v>
      </c>
      <c r="G168" s="33">
        <v>7.2</v>
      </c>
      <c r="H168" s="33">
        <v>28.8</v>
      </c>
    </row>
    <row r="169" spans="1:8" ht="30">
      <c r="A169" s="31" t="s">
        <v>146</v>
      </c>
      <c r="B169" s="31" t="s">
        <v>305</v>
      </c>
      <c r="C169" s="32">
        <v>29</v>
      </c>
      <c r="D169" s="31">
        <v>85</v>
      </c>
      <c r="E169" s="32">
        <v>26</v>
      </c>
      <c r="F169" s="32">
        <v>2</v>
      </c>
      <c r="G169" s="33">
        <v>0.5</v>
      </c>
      <c r="H169" s="33">
        <v>1</v>
      </c>
    </row>
    <row r="170" spans="1:8" ht="30">
      <c r="A170" s="31" t="s">
        <v>146</v>
      </c>
      <c r="B170" s="31" t="s">
        <v>306</v>
      </c>
      <c r="C170" s="32">
        <v>702</v>
      </c>
      <c r="D170" s="31">
        <v>85</v>
      </c>
      <c r="E170" s="32">
        <v>613</v>
      </c>
      <c r="F170" s="32">
        <v>17</v>
      </c>
      <c r="G170" s="33">
        <v>4</v>
      </c>
      <c r="H170" s="33">
        <v>68</v>
      </c>
    </row>
    <row r="171" spans="1:8" ht="30">
      <c r="A171" s="31" t="s">
        <v>146</v>
      </c>
      <c r="B171" s="31" t="s">
        <v>307</v>
      </c>
      <c r="C171" s="32">
        <v>673</v>
      </c>
      <c r="D171" s="31">
        <v>85</v>
      </c>
      <c r="E171" s="32">
        <v>80</v>
      </c>
      <c r="F171" s="32">
        <v>2</v>
      </c>
      <c r="G171" s="33">
        <v>5</v>
      </c>
      <c r="H171" s="33">
        <v>10</v>
      </c>
    </row>
    <row r="172" spans="1:8" ht="30">
      <c r="A172" s="31" t="s">
        <v>146</v>
      </c>
      <c r="B172" s="31" t="s">
        <v>308</v>
      </c>
      <c r="C172" s="32">
        <v>371</v>
      </c>
      <c r="D172" s="31">
        <v>85</v>
      </c>
      <c r="E172" s="32">
        <v>297</v>
      </c>
      <c r="F172" s="32">
        <v>7</v>
      </c>
      <c r="G172" s="33">
        <v>9</v>
      </c>
      <c r="H172" s="33">
        <v>63</v>
      </c>
    </row>
    <row r="173" spans="1:8" ht="30">
      <c r="A173" s="31" t="s">
        <v>146</v>
      </c>
      <c r="B173" s="31" t="s">
        <v>309</v>
      </c>
      <c r="C173" s="32">
        <v>420</v>
      </c>
      <c r="D173" s="31">
        <v>85</v>
      </c>
      <c r="E173" s="32">
        <v>220</v>
      </c>
      <c r="F173" s="32">
        <v>6</v>
      </c>
      <c r="G173" s="33">
        <v>5.0999999999999996</v>
      </c>
      <c r="H173" s="33">
        <v>30.6</v>
      </c>
    </row>
    <row r="174" spans="1:8" ht="30">
      <c r="A174" s="31" t="s">
        <v>146</v>
      </c>
      <c r="B174" s="31" t="s">
        <v>310</v>
      </c>
      <c r="C174" s="32">
        <v>798</v>
      </c>
      <c r="D174" s="31">
        <v>85</v>
      </c>
      <c r="E174" s="32">
        <v>178</v>
      </c>
      <c r="F174" s="32">
        <v>4</v>
      </c>
      <c r="G174" s="33">
        <v>5.4</v>
      </c>
      <c r="H174" s="33">
        <v>21.6</v>
      </c>
    </row>
    <row r="175" spans="1:8" ht="30">
      <c r="A175" s="31" t="s">
        <v>146</v>
      </c>
      <c r="B175" s="31" t="s">
        <v>311</v>
      </c>
      <c r="C175" s="32">
        <v>577</v>
      </c>
      <c r="D175" s="31">
        <v>85</v>
      </c>
      <c r="E175" s="32">
        <v>490</v>
      </c>
      <c r="F175" s="32">
        <v>15</v>
      </c>
      <c r="G175" s="33">
        <v>4.7</v>
      </c>
      <c r="H175" s="33">
        <v>70.5</v>
      </c>
    </row>
    <row r="176" spans="1:8" ht="30">
      <c r="A176" s="31" t="s">
        <v>146</v>
      </c>
      <c r="B176" s="31" t="s">
        <v>312</v>
      </c>
      <c r="C176" s="32">
        <v>636</v>
      </c>
      <c r="D176" s="31">
        <v>85</v>
      </c>
      <c r="E176" s="32">
        <v>433</v>
      </c>
      <c r="F176" s="32">
        <v>13</v>
      </c>
      <c r="G176" s="33">
        <v>4.3</v>
      </c>
      <c r="H176" s="33">
        <v>55.9</v>
      </c>
    </row>
    <row r="177" spans="1:8" ht="30">
      <c r="A177" s="31" t="s">
        <v>146</v>
      </c>
      <c r="B177" s="31" t="s">
        <v>313</v>
      </c>
      <c r="C177" s="32">
        <v>57557</v>
      </c>
      <c r="D177" s="31">
        <v>85</v>
      </c>
      <c r="E177" s="32">
        <v>38781</v>
      </c>
      <c r="F177" s="32">
        <v>546</v>
      </c>
      <c r="G177" s="33">
        <v>9.5</v>
      </c>
      <c r="H177" s="33">
        <v>5187</v>
      </c>
    </row>
    <row r="178" spans="1:8" ht="15">
      <c r="A178" s="31" t="s">
        <v>146</v>
      </c>
      <c r="B178" s="31" t="s">
        <v>314</v>
      </c>
      <c r="C178" s="32">
        <v>109</v>
      </c>
      <c r="D178" s="31">
        <v>85</v>
      </c>
      <c r="E178" s="32">
        <v>14</v>
      </c>
      <c r="F178" s="32">
        <v>2</v>
      </c>
      <c r="G178" s="33">
        <v>0.1</v>
      </c>
      <c r="H178" s="33">
        <v>0.2</v>
      </c>
    </row>
    <row r="179" spans="1:8" ht="30">
      <c r="A179" s="31" t="s">
        <v>147</v>
      </c>
      <c r="B179" s="31" t="s">
        <v>192</v>
      </c>
      <c r="C179" s="32">
        <v>11121</v>
      </c>
      <c r="D179" s="31">
        <v>85</v>
      </c>
      <c r="E179" s="32">
        <v>10613</v>
      </c>
      <c r="F179" s="32">
        <v>906</v>
      </c>
      <c r="G179" s="33">
        <v>13.1</v>
      </c>
      <c r="H179" s="33">
        <v>11868.6</v>
      </c>
    </row>
    <row r="180" spans="1:8" ht="15">
      <c r="A180" s="31" t="s">
        <v>147</v>
      </c>
      <c r="B180" s="31" t="s">
        <v>232</v>
      </c>
      <c r="C180" s="32">
        <v>80261</v>
      </c>
      <c r="D180" s="31">
        <v>85</v>
      </c>
      <c r="E180" s="32">
        <v>64459</v>
      </c>
      <c r="F180" s="32">
        <v>1218</v>
      </c>
      <c r="G180" s="33">
        <v>10</v>
      </c>
      <c r="H180" s="33">
        <v>12180</v>
      </c>
    </row>
    <row r="181" spans="1:8" ht="15">
      <c r="A181" s="31" t="s">
        <v>147</v>
      </c>
      <c r="B181" s="31" t="s">
        <v>248</v>
      </c>
      <c r="C181" s="32">
        <v>98687</v>
      </c>
      <c r="D181" s="31">
        <v>85</v>
      </c>
      <c r="E181" s="32">
        <v>15209</v>
      </c>
      <c r="F181" s="32">
        <v>216</v>
      </c>
      <c r="G181" s="33">
        <v>9.8000000000000007</v>
      </c>
      <c r="H181" s="33">
        <v>2116.8000000000002</v>
      </c>
    </row>
    <row r="182" spans="1:8" ht="15">
      <c r="A182" s="31" t="s">
        <v>147</v>
      </c>
      <c r="B182" s="31" t="s">
        <v>298</v>
      </c>
      <c r="C182" s="32">
        <v>60457</v>
      </c>
      <c r="D182" s="31">
        <v>85</v>
      </c>
      <c r="E182" s="32">
        <v>2393</v>
      </c>
      <c r="F182" s="32">
        <v>27</v>
      </c>
      <c r="G182" s="33">
        <v>8.1</v>
      </c>
      <c r="H182" s="33">
        <v>218.7</v>
      </c>
    </row>
    <row r="183" spans="1:8" ht="30">
      <c r="A183" s="31" t="s">
        <v>147</v>
      </c>
      <c r="B183" s="31" t="s">
        <v>313</v>
      </c>
      <c r="C183" s="32">
        <v>57557</v>
      </c>
      <c r="D183" s="31">
        <v>85</v>
      </c>
      <c r="E183" s="32">
        <v>49149</v>
      </c>
      <c r="F183" s="32">
        <v>763</v>
      </c>
      <c r="G183" s="33">
        <v>9.3000000000000007</v>
      </c>
      <c r="H183" s="33">
        <v>7095.9</v>
      </c>
    </row>
    <row r="184" spans="1:8" ht="15">
      <c r="A184" s="31" t="s">
        <v>147</v>
      </c>
      <c r="B184" s="31" t="s">
        <v>315</v>
      </c>
      <c r="C184" s="32">
        <v>53722</v>
      </c>
      <c r="D184" s="31">
        <v>85</v>
      </c>
      <c r="E184" s="32">
        <v>41117</v>
      </c>
      <c r="F184" s="32">
        <v>584</v>
      </c>
      <c r="G184" s="33">
        <v>19.600000000000001</v>
      </c>
      <c r="H184" s="33">
        <v>11446.4</v>
      </c>
    </row>
    <row r="185" spans="1:8" ht="15">
      <c r="A185" s="31" t="s">
        <v>148</v>
      </c>
      <c r="B185" s="31" t="s">
        <v>124</v>
      </c>
      <c r="C185" s="32">
        <v>7741</v>
      </c>
      <c r="D185" s="31">
        <v>85</v>
      </c>
      <c r="E185" s="32">
        <v>3812</v>
      </c>
      <c r="F185" s="32">
        <v>187</v>
      </c>
      <c r="G185" s="33">
        <v>8.3000000000000007</v>
      </c>
      <c r="H185" s="33">
        <v>1552.1</v>
      </c>
    </row>
    <row r="186" spans="1:8" ht="30">
      <c r="A186" s="31" t="s">
        <v>148</v>
      </c>
      <c r="B186" s="31" t="s">
        <v>316</v>
      </c>
      <c r="C186" s="32">
        <v>3601</v>
      </c>
      <c r="D186" s="31">
        <v>85</v>
      </c>
      <c r="E186" s="32">
        <v>3184</v>
      </c>
      <c r="F186" s="32">
        <v>177</v>
      </c>
      <c r="G186" s="33">
        <v>6.9</v>
      </c>
      <c r="H186" s="33">
        <v>1221.3</v>
      </c>
    </row>
    <row r="187" spans="1:8" ht="15">
      <c r="A187" s="31" t="s">
        <v>148</v>
      </c>
      <c r="B187" s="31" t="s">
        <v>317</v>
      </c>
      <c r="C187" s="32">
        <v>44645</v>
      </c>
      <c r="D187" s="31">
        <v>85</v>
      </c>
      <c r="E187" s="32">
        <v>38995</v>
      </c>
      <c r="F187" s="32">
        <v>1409</v>
      </c>
      <c r="G187" s="33">
        <v>11.1</v>
      </c>
      <c r="H187" s="33">
        <v>15639.9</v>
      </c>
    </row>
    <row r="188" spans="1:8" ht="30">
      <c r="A188" s="31" t="s">
        <v>148</v>
      </c>
      <c r="B188" s="31" t="s">
        <v>318</v>
      </c>
      <c r="C188" s="32">
        <v>7477</v>
      </c>
      <c r="D188" s="31">
        <v>85</v>
      </c>
      <c r="E188" s="32">
        <v>6852</v>
      </c>
      <c r="F188" s="32">
        <v>337</v>
      </c>
      <c r="G188" s="33">
        <v>9.8000000000000007</v>
      </c>
      <c r="H188" s="33">
        <v>3302.6</v>
      </c>
    </row>
  </sheetData>
  <mergeCells count="3">
    <mergeCell ref="A13:H13"/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Шаблон Медиаплана</vt:lpstr>
      <vt:lpstr>Прогноз и тест</vt:lpstr>
      <vt:lpstr>Проверка_CPC</vt:lpstr>
      <vt:lpstr>Прогноз_Direct_85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Kozinskaya Galina</dc:creator>
  <cp:lastModifiedBy>Galina Kozinskaya</cp:lastModifiedBy>
  <dcterms:created xsi:type="dcterms:W3CDTF">2026-07-08T18:18:46Z</dcterms:created>
  <dcterms:modified xsi:type="dcterms:W3CDTF">2026-07-24T08:10:47Z</dcterms:modified>
</cp:coreProperties>
</file>